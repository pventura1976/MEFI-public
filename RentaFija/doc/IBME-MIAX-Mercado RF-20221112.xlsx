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WorkingFolderPersonal\personal\MIAX\RentaFija\doc\"/>
    </mc:Choice>
  </mc:AlternateContent>
  <xr:revisionPtr revIDLastSave="0" documentId="13_ncr:1_{FBDB7F18-775D-45DD-B139-84DE8E561D56}" xr6:coauthVersionLast="47" xr6:coauthVersionMax="47" xr10:uidLastSave="{00000000-0000-0000-0000-000000000000}"/>
  <bookViews>
    <workbookView xWindow="29610" yWindow="-225" windowWidth="28110" windowHeight="16440" tabRatio="771" activeTab="1" xr2:uid="{00000000-000D-0000-FFFF-FFFF00000000}"/>
  </bookViews>
  <sheets>
    <sheet name="Implicitos" sheetId="50" r:id="rId1"/>
    <sheet name="Calculadora" sheetId="39" r:id="rId2"/>
    <sheet name="Datos Bonos" sheetId="40" r:id="rId3"/>
    <sheet name="Cot-Px" sheetId="44" r:id="rId4"/>
    <sheet name="Forward" sheetId="42" r:id="rId5"/>
    <sheet name="Precio bono" sheetId="45" r:id="rId6"/>
    <sheet name="Duración" sheetId="46" r:id="rId7"/>
    <sheet name="Gestión Duración" sheetId="43" r:id="rId8"/>
    <sheet name="V. Relativo" sheetId="48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Amortización" localSheetId="3">[1]Rentas!$B$7</definedName>
    <definedName name="Amortización">[2]Rentas!$B$7</definedName>
    <definedName name="base" localSheetId="3">[1]Rentas!$A$4</definedName>
    <definedName name="base">[2]Rentas!$A$4</definedName>
    <definedName name="basebonos" localSheetId="3">'[3]Datos Bonos'!$A$2:$G$79</definedName>
    <definedName name="basebonos" localSheetId="7">[4]Calculadora!$O$2:$S$51</definedName>
    <definedName name="basebonos" localSheetId="5">[5]Bonos!$O$1:$S$31</definedName>
    <definedName name="basebonos">'Datos Bonos'!$A$2:$F$95</definedName>
    <definedName name="capital" localSheetId="3">#REF!</definedName>
    <definedName name="capital">#REF!</definedName>
    <definedName name="Coste" localSheetId="3">[1]Rentas!$B$5</definedName>
    <definedName name="Coste">[2]Rentas!$B$5</definedName>
    <definedName name="Cuota">#REF!</definedName>
    <definedName name="cuota_capital">#REF!</definedName>
    <definedName name="cupon1" localSheetId="3">'Cot-Px'!$H$4</definedName>
    <definedName name="cupon1" localSheetId="5">'[6]Cot-Px'!$H$4</definedName>
    <definedName name="cupon1">'[7]Cot-Px'!$H$4</definedName>
    <definedName name="cupon2" localSheetId="3">'Cot-Px'!$H$5</definedName>
    <definedName name="cupon2" localSheetId="5">'[6]Cot-Px'!$H$5</definedName>
    <definedName name="cupon2">'[7]Cot-Px'!$H$5</definedName>
    <definedName name="cupon3" localSheetId="3">'Cot-Px'!$H$6</definedName>
    <definedName name="cupon3" localSheetId="7">#REF!</definedName>
    <definedName name="cupon3" localSheetId="5">'[6]Cot-Px'!$H$6</definedName>
    <definedName name="cupon3">'[7]Cot-Px'!$H$6</definedName>
    <definedName name="cuponbono" localSheetId="3">'Cot-Px'!$C$4</definedName>
    <definedName name="cuponbono" localSheetId="7">#REF!</definedName>
    <definedName name="cuponbono" localSheetId="5">'[6]Cot-Px'!$C$4</definedName>
    <definedName name="cuponbono">'[7]Cot-Px'!$C$4</definedName>
    <definedName name="curva">#REF!</definedName>
    <definedName name="curva_asset">#REF!</definedName>
    <definedName name="curva_deuda">#REF!</definedName>
    <definedName name="fd">#REF!</definedName>
    <definedName name="fd_asset">#REF!</definedName>
    <definedName name="fecha_valor" localSheetId="3">#REF!</definedName>
    <definedName name="fecha_valor">#REF!</definedName>
    <definedName name="Fechas" localSheetId="3">[1]Rentas!$A$13:$A$33</definedName>
    <definedName name="Fechas">[2]Rentas!$A$13:$A$33</definedName>
    <definedName name="fv_asset">#REF!</definedName>
    <definedName name="Importe" localSheetId="3">#REF!</definedName>
    <definedName name="Importe">#REF!</definedName>
    <definedName name="Intereses" localSheetId="3">#REF!</definedName>
    <definedName name="Intereses">#REF!</definedName>
    <definedName name="interpolar" localSheetId="3">'Cot-Px'!interpolar</definedName>
    <definedName name="interpolar" localSheetId="7">'Gestión Duración'!interpolar</definedName>
    <definedName name="interpolar" localSheetId="5">'Precio bono'!interpolar</definedName>
    <definedName name="interpolar">[0]!interpolar</definedName>
    <definedName name="kk" localSheetId="3">[8]!interp</definedName>
    <definedName name="kk">[9]!interp</definedName>
    <definedName name="Letras" localSheetId="3">#REF!</definedName>
    <definedName name="Letras">#REF!</definedName>
    <definedName name="macros.interp" localSheetId="3">'Cot-Px'!macros.interp</definedName>
    <definedName name="macros.interp" localSheetId="7">'Gestión Duración'!macros.interp</definedName>
    <definedName name="macros.interp" localSheetId="5">'Precio bono'!macros.interp</definedName>
    <definedName name="macros.interp">[0]!macros.interp</definedName>
    <definedName name="Módulo1.interp" localSheetId="3">'Cot-Px'!Módulo1.interp</definedName>
    <definedName name="Módulo1.interp" localSheetId="7">'Gestión Duración'!Módulo1.interp</definedName>
    <definedName name="Módulo1.interp" localSheetId="5">'Precio bono'!Módulo1.interp</definedName>
    <definedName name="Módulo1.interp">[0]!Módulo1.interp</definedName>
    <definedName name="mov_tip_3">#REF!</definedName>
    <definedName name="mov_tip_5">#REF!</definedName>
    <definedName name="Nominal" localSheetId="3">#REF!</definedName>
    <definedName name="Nominal">#REF!</definedName>
    <definedName name="Plazo" localSheetId="3">#REF!</definedName>
    <definedName name="Plazo">#REF!</definedName>
    <definedName name="Rendimiento" localSheetId="3">[1]Rentas!$B$6</definedName>
    <definedName name="Rendimiento">[2]Rentas!$B$6</definedName>
    <definedName name="solver_adj" localSheetId="1" hidden="1">Calculadora!$B$8</definedName>
    <definedName name="solver_lin" localSheetId="1" hidden="1">0</definedName>
    <definedName name="solver_num" localSheetId="1" hidden="1">0</definedName>
    <definedName name="solver_opt" localSheetId="1" hidden="1">Calculadora!$G$15</definedName>
    <definedName name="solver_typ" localSheetId="1" hidden="1">3</definedName>
    <definedName name="solver_val" localSheetId="1" hidden="1">0</definedName>
    <definedName name="spread">#REF!</definedName>
    <definedName name="tipo">#REF!</definedName>
    <definedName name="tipo_mensual" localSheetId="3">#REF!</definedName>
    <definedName name="tipo_mensual">#REF!</definedName>
    <definedName name="Tipos" localSheetId="3">[1]Rentas!$E$5</definedName>
    <definedName name="Tipos">[2]Rentas!$E$5</definedName>
    <definedName name="tir" localSheetId="3">#REF!</definedName>
    <definedName name="tir" localSheetId="7">#REF!</definedName>
    <definedName name="tir" localSheetId="5">#REF!</definedName>
    <definedName name="tir">#REF!</definedName>
    <definedName name="TIR_Letra" localSheetId="3">#REF!</definedName>
    <definedName name="TIR_Letra">#REF!</definedName>
    <definedName name="Valor_inicial" localSheetId="3">#REF!</definedName>
    <definedName name="Valor_inicial">#REF!</definedName>
    <definedName name="Valores" localSheetId="3">[1]Rentas!$C$13:$C$33</definedName>
    <definedName name="Valores">[2]Rentas!$C$13:$C$33</definedName>
    <definedName name="value_dat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2" i="39" l="1"/>
  <c r="B2" i="39"/>
  <c r="F4" i="39"/>
  <c r="D4" i="39"/>
  <c r="G18" i="40"/>
  <c r="G17" i="40"/>
  <c r="G16" i="40"/>
  <c r="G15" i="40"/>
  <c r="G14" i="40"/>
  <c r="G13" i="40"/>
  <c r="G12" i="40"/>
  <c r="G11" i="40"/>
  <c r="G10" i="40"/>
  <c r="G9" i="40"/>
  <c r="G8" i="40"/>
  <c r="G7" i="40"/>
  <c r="G6" i="40"/>
  <c r="G5" i="40"/>
  <c r="G4" i="40"/>
  <c r="G3" i="40"/>
  <c r="G2" i="40"/>
  <c r="D53" i="50"/>
  <c r="G53" i="50" s="1"/>
  <c r="D52" i="50"/>
  <c r="E52" i="50" s="1"/>
  <c r="D50" i="50"/>
  <c r="E50" i="50" s="1"/>
  <c r="F50" i="50" s="1"/>
  <c r="D49" i="50"/>
  <c r="E49" i="50" s="1"/>
  <c r="D47" i="50"/>
  <c r="E47" i="50" s="1"/>
  <c r="D46" i="50"/>
  <c r="E46" i="50" s="1"/>
  <c r="E41" i="50"/>
  <c r="F41" i="50" s="1"/>
  <c r="G41" i="50" s="1"/>
  <c r="D41" i="50"/>
  <c r="D40" i="50"/>
  <c r="F36" i="50"/>
  <c r="D36" i="50"/>
  <c r="E36" i="50" s="1"/>
  <c r="D35" i="50"/>
  <c r="D31" i="50"/>
  <c r="E31" i="50" s="1"/>
  <c r="F31" i="50" s="1"/>
  <c r="G31" i="50" s="1"/>
  <c r="E30" i="50"/>
  <c r="D30" i="50"/>
  <c r="D28" i="50"/>
  <c r="E28" i="50" s="1"/>
  <c r="D27" i="50"/>
  <c r="E27" i="50" s="1"/>
  <c r="D25" i="50"/>
  <c r="E25" i="50" s="1"/>
  <c r="F25" i="50" s="1"/>
  <c r="G25" i="50" s="1"/>
  <c r="E24" i="50"/>
  <c r="D24" i="50"/>
  <c r="C9" i="50"/>
  <c r="B7" i="50"/>
  <c r="C6" i="50" s="1"/>
  <c r="B5" i="50"/>
  <c r="C5" i="50" s="1"/>
  <c r="C7" i="50" s="1"/>
  <c r="C4" i="50"/>
  <c r="C12" i="50" l="1"/>
  <c r="C10" i="50"/>
  <c r="G36" i="50"/>
  <c r="F28" i="50"/>
  <c r="G28" i="50" s="1"/>
  <c r="C8" i="50"/>
  <c r="F47" i="50"/>
  <c r="H47" i="50" s="1"/>
  <c r="G50" i="50"/>
  <c r="H50" i="50" s="1"/>
  <c r="G47" i="50"/>
  <c r="E53" i="50"/>
  <c r="F53" i="50" s="1"/>
  <c r="H53" i="50" s="1"/>
  <c r="B10" i="50"/>
  <c r="B6" i="50"/>
  <c r="B8" i="50" s="1"/>
  <c r="C13" i="50" l="1"/>
  <c r="B12" i="50"/>
  <c r="B13" i="50" s="1"/>
  <c r="G19" i="40" l="1"/>
  <c r="G20" i="40"/>
  <c r="G21" i="40"/>
  <c r="G22" i="40"/>
  <c r="G23" i="40"/>
  <c r="G24" i="40"/>
  <c r="G25" i="40"/>
  <c r="G26" i="40"/>
  <c r="G27" i="40"/>
  <c r="G28" i="40"/>
  <c r="G29" i="40"/>
  <c r="G30" i="40"/>
  <c r="G31" i="40"/>
  <c r="G32" i="40"/>
  <c r="G33" i="40"/>
  <c r="G34" i="40"/>
  <c r="G35" i="40"/>
  <c r="G36" i="40"/>
  <c r="G37" i="40"/>
  <c r="G38" i="40"/>
  <c r="G39" i="40"/>
  <c r="G40" i="40"/>
  <c r="G41" i="40"/>
  <c r="G42" i="40"/>
  <c r="G43" i="40"/>
  <c r="G44" i="40"/>
  <c r="G45" i="40"/>
  <c r="G46" i="40"/>
  <c r="G47" i="40"/>
  <c r="G48" i="40"/>
  <c r="G49" i="40"/>
  <c r="G50" i="40"/>
  <c r="G51" i="40"/>
  <c r="G52" i="40"/>
  <c r="G53" i="40"/>
  <c r="G54" i="40"/>
  <c r="G55" i="40"/>
  <c r="G56" i="40"/>
  <c r="G57" i="40"/>
  <c r="G58" i="40"/>
  <c r="G59" i="40"/>
  <c r="G60" i="40"/>
  <c r="P4" i="39" l="1"/>
  <c r="P3" i="39"/>
  <c r="S3" i="39" s="1"/>
  <c r="B8" i="48"/>
  <c r="B16" i="48"/>
  <c r="B15" i="48"/>
  <c r="H16" i="48"/>
  <c r="A16" i="48"/>
  <c r="F13" i="48"/>
  <c r="D16" i="48"/>
  <c r="C16" i="48"/>
  <c r="A7" i="48"/>
  <c r="A15" i="48" s="1"/>
  <c r="G15" i="48"/>
  <c r="D21" i="48"/>
  <c r="C15" i="48"/>
  <c r="E11" i="43"/>
  <c r="G5" i="43" s="1"/>
  <c r="M5" i="43" s="1"/>
  <c r="D11" i="43"/>
  <c r="F9" i="43"/>
  <c r="K9" i="43" s="1"/>
  <c r="F7" i="43"/>
  <c r="K7" i="43" s="1"/>
  <c r="F5" i="43"/>
  <c r="K5" i="43" s="1"/>
  <c r="F41" i="46"/>
  <c r="F62" i="46" s="1"/>
  <c r="N25" i="46"/>
  <c r="I30" i="46"/>
  <c r="K30" i="46" s="1"/>
  <c r="L30" i="46" s="1"/>
  <c r="F25" i="46"/>
  <c r="A30" i="46"/>
  <c r="C30" i="46" s="1"/>
  <c r="D30" i="46" s="1"/>
  <c r="A29" i="46"/>
  <c r="I29" i="46" s="1"/>
  <c r="J26" i="46" s="1"/>
  <c r="L25" i="46" s="1"/>
  <c r="J29" i="46" s="1"/>
  <c r="N5" i="46"/>
  <c r="I10" i="46"/>
  <c r="K10" i="46" s="1"/>
  <c r="L10" i="46" s="1"/>
  <c r="I9" i="46"/>
  <c r="B6" i="46"/>
  <c r="B10" i="46"/>
  <c r="C10" i="46"/>
  <c r="D10" i="46" s="1"/>
  <c r="J10" i="46"/>
  <c r="J11" i="46" s="1"/>
  <c r="J12" i="46" s="1"/>
  <c r="J13" i="46" s="1"/>
  <c r="J14" i="46" s="1"/>
  <c r="J15" i="46" s="1"/>
  <c r="J16" i="46" s="1"/>
  <c r="J17" i="46" s="1"/>
  <c r="A11" i="46"/>
  <c r="C11" i="46" s="1"/>
  <c r="D11" i="46" s="1"/>
  <c r="B11" i="46"/>
  <c r="B12" i="46" s="1"/>
  <c r="B26" i="46"/>
  <c r="D25" i="46" s="1"/>
  <c r="B29" i="46" s="1"/>
  <c r="B30" i="46"/>
  <c r="B31" i="46" s="1"/>
  <c r="B32" i="46" s="1"/>
  <c r="J30" i="46"/>
  <c r="J31" i="46" s="1"/>
  <c r="J32" i="46" s="1"/>
  <c r="B46" i="46"/>
  <c r="B47" i="46" s="1"/>
  <c r="B48" i="46" s="1"/>
  <c r="B49" i="46" s="1"/>
  <c r="B50" i="46" s="1"/>
  <c r="B51" i="46" s="1"/>
  <c r="B52" i="46" s="1"/>
  <c r="B53" i="46" s="1"/>
  <c r="B54" i="46" s="1"/>
  <c r="J46" i="46"/>
  <c r="J48" i="46" s="1"/>
  <c r="J50" i="46" s="1"/>
  <c r="J52" i="46" s="1"/>
  <c r="J54" i="46" s="1"/>
  <c r="B67" i="46"/>
  <c r="J67" i="46"/>
  <c r="B68" i="46"/>
  <c r="B69" i="46" s="1"/>
  <c r="B70" i="46" s="1"/>
  <c r="B71" i="46" s="1"/>
  <c r="J68" i="46"/>
  <c r="J69" i="46" s="1"/>
  <c r="J70" i="46" s="1"/>
  <c r="J71" i="46" s="1"/>
  <c r="B84" i="46"/>
  <c r="B85" i="46" s="1"/>
  <c r="B86" i="46" s="1"/>
  <c r="B87" i="46" s="1"/>
  <c r="B88" i="46" s="1"/>
  <c r="B89" i="46" s="1"/>
  <c r="B90" i="46" s="1"/>
  <c r="B91" i="46" s="1"/>
  <c r="B92" i="46" s="1"/>
  <c r="B93" i="46" s="1"/>
  <c r="B94" i="46" s="1"/>
  <c r="B95" i="46" s="1"/>
  <c r="B96" i="46" s="1"/>
  <c r="J84" i="46"/>
  <c r="J85" i="46" s="1"/>
  <c r="J86" i="46" s="1"/>
  <c r="J87" i="46" s="1"/>
  <c r="J88" i="46" s="1"/>
  <c r="J89" i="46" s="1"/>
  <c r="J90" i="46" s="1"/>
  <c r="J91" i="46" s="1"/>
  <c r="J92" i="46" s="1"/>
  <c r="J93" i="46" s="1"/>
  <c r="J94" i="46" s="1"/>
  <c r="J95" i="46" s="1"/>
  <c r="J96" i="46" s="1"/>
  <c r="M2" i="45"/>
  <c r="R4" i="45" s="1"/>
  <c r="P3" i="45"/>
  <c r="Q3" i="45"/>
  <c r="R3" i="45"/>
  <c r="S3" i="45"/>
  <c r="T3" i="45"/>
  <c r="U3" i="45"/>
  <c r="V3" i="45"/>
  <c r="W3" i="45"/>
  <c r="X3" i="45"/>
  <c r="Y3" i="45"/>
  <c r="Z3" i="45"/>
  <c r="C4" i="45"/>
  <c r="D4" i="45"/>
  <c r="E4" i="45"/>
  <c r="F4" i="45"/>
  <c r="G4" i="45"/>
  <c r="H4" i="45"/>
  <c r="I4" i="45"/>
  <c r="J4" i="45"/>
  <c r="K4" i="45"/>
  <c r="L4" i="45"/>
  <c r="M4" i="45"/>
  <c r="B5" i="45"/>
  <c r="C5" i="45"/>
  <c r="C7" i="45" s="1"/>
  <c r="C8" i="45" s="1"/>
  <c r="D5" i="45"/>
  <c r="E5" i="45"/>
  <c r="F5" i="45"/>
  <c r="G5" i="45"/>
  <c r="G7" i="45" s="1"/>
  <c r="G8" i="45" s="1"/>
  <c r="H5" i="45"/>
  <c r="I5" i="45"/>
  <c r="J5" i="45"/>
  <c r="K5" i="45"/>
  <c r="L5" i="45"/>
  <c r="M5" i="45"/>
  <c r="B6" i="45"/>
  <c r="E6" i="45" s="1"/>
  <c r="E7" i="45" s="1"/>
  <c r="E8" i="45" s="1"/>
  <c r="C6" i="45"/>
  <c r="D6" i="45"/>
  <c r="D7" i="45" s="1"/>
  <c r="D8" i="45" s="1"/>
  <c r="F6" i="45"/>
  <c r="F7" i="45" s="1"/>
  <c r="G6" i="45"/>
  <c r="H6" i="45"/>
  <c r="I6" i="45"/>
  <c r="J6" i="45"/>
  <c r="K6" i="45"/>
  <c r="K7" i="45" s="1"/>
  <c r="K8" i="45" s="1"/>
  <c r="L6" i="45"/>
  <c r="L7" i="45" s="1"/>
  <c r="H7" i="45"/>
  <c r="I7" i="45"/>
  <c r="I8" i="45" s="1"/>
  <c r="J7" i="45"/>
  <c r="H8" i="45"/>
  <c r="M10" i="45"/>
  <c r="R5" i="45" s="1"/>
  <c r="C12" i="45"/>
  <c r="C17" i="45" s="1"/>
  <c r="D12" i="45"/>
  <c r="E12" i="45"/>
  <c r="F12" i="45"/>
  <c r="G12" i="45"/>
  <c r="H12" i="45"/>
  <c r="I12" i="45"/>
  <c r="J12" i="45"/>
  <c r="K12" i="45"/>
  <c r="K17" i="45" s="1"/>
  <c r="L12" i="45"/>
  <c r="M12" i="45"/>
  <c r="B13" i="45"/>
  <c r="I13" i="45" s="1"/>
  <c r="C13" i="45"/>
  <c r="K13" i="45"/>
  <c r="B14" i="45"/>
  <c r="I14" i="45" s="1"/>
  <c r="C14" i="45"/>
  <c r="K14" i="45"/>
  <c r="B15" i="45"/>
  <c r="I15" i="45" s="1"/>
  <c r="C15" i="45"/>
  <c r="K15" i="45"/>
  <c r="B16" i="45"/>
  <c r="I16" i="45" s="1"/>
  <c r="C16" i="45"/>
  <c r="K16" i="45"/>
  <c r="M20" i="45"/>
  <c r="S6" i="45" s="1"/>
  <c r="C22" i="45"/>
  <c r="D22" i="45"/>
  <c r="D32" i="45" s="1"/>
  <c r="D33" i="45" s="1"/>
  <c r="E22" i="45"/>
  <c r="E32" i="45" s="1"/>
  <c r="F22" i="45"/>
  <c r="G22" i="45"/>
  <c r="H22" i="45"/>
  <c r="I22" i="45"/>
  <c r="J22" i="45"/>
  <c r="J32" i="45" s="1"/>
  <c r="K22" i="45"/>
  <c r="L22" i="45"/>
  <c r="L32" i="45" s="1"/>
  <c r="M22" i="45"/>
  <c r="M32" i="45" s="1"/>
  <c r="B23" i="45"/>
  <c r="K23" i="45" s="1"/>
  <c r="D23" i="45"/>
  <c r="E23" i="45"/>
  <c r="J23" i="45"/>
  <c r="L23" i="45"/>
  <c r="M23" i="45"/>
  <c r="B24" i="45"/>
  <c r="K24" i="45" s="1"/>
  <c r="D24" i="45"/>
  <c r="E24" i="45"/>
  <c r="J24" i="45"/>
  <c r="L24" i="45"/>
  <c r="M24" i="45"/>
  <c r="B25" i="45"/>
  <c r="K25" i="45" s="1"/>
  <c r="D25" i="45"/>
  <c r="E25" i="45"/>
  <c r="J25" i="45"/>
  <c r="L25" i="45"/>
  <c r="M25" i="45"/>
  <c r="B26" i="45"/>
  <c r="K26" i="45" s="1"/>
  <c r="D26" i="45"/>
  <c r="E26" i="45"/>
  <c r="J26" i="45"/>
  <c r="L26" i="45"/>
  <c r="M26" i="45"/>
  <c r="B27" i="45"/>
  <c r="K27" i="45" s="1"/>
  <c r="D27" i="45"/>
  <c r="E27" i="45"/>
  <c r="J27" i="45"/>
  <c r="L27" i="45"/>
  <c r="M27" i="45"/>
  <c r="B28" i="45"/>
  <c r="K28" i="45" s="1"/>
  <c r="D28" i="45"/>
  <c r="E28" i="45"/>
  <c r="J28" i="45"/>
  <c r="L28" i="45"/>
  <c r="M28" i="45"/>
  <c r="B29" i="45"/>
  <c r="K29" i="45" s="1"/>
  <c r="D29" i="45"/>
  <c r="E29" i="45"/>
  <c r="J29" i="45"/>
  <c r="L29" i="45"/>
  <c r="M29" i="45"/>
  <c r="B30" i="45"/>
  <c r="K30" i="45" s="1"/>
  <c r="D30" i="45"/>
  <c r="E30" i="45"/>
  <c r="J30" i="45"/>
  <c r="L30" i="45"/>
  <c r="M30" i="45"/>
  <c r="B31" i="45"/>
  <c r="K31" i="45" s="1"/>
  <c r="D31" i="45"/>
  <c r="E31" i="45"/>
  <c r="J31" i="45"/>
  <c r="L31" i="45"/>
  <c r="M31" i="45"/>
  <c r="M35" i="45"/>
  <c r="U7" i="45" s="1"/>
  <c r="C37" i="45"/>
  <c r="D37" i="45"/>
  <c r="D67" i="45" s="1"/>
  <c r="E37" i="45"/>
  <c r="F37" i="45"/>
  <c r="G37" i="45"/>
  <c r="H37" i="45"/>
  <c r="H67" i="45" s="1"/>
  <c r="H68" i="45" s="1"/>
  <c r="I37" i="45"/>
  <c r="J37" i="45"/>
  <c r="K37" i="45"/>
  <c r="L37" i="45"/>
  <c r="M37" i="45"/>
  <c r="B38" i="45"/>
  <c r="C38" i="45" s="1"/>
  <c r="D38" i="45"/>
  <c r="H38" i="45"/>
  <c r="B39" i="45"/>
  <c r="C39" i="45" s="1"/>
  <c r="D39" i="45"/>
  <c r="H39" i="45"/>
  <c r="B40" i="45"/>
  <c r="C40" i="45" s="1"/>
  <c r="D40" i="45"/>
  <c r="H40" i="45"/>
  <c r="B41" i="45"/>
  <c r="C41" i="45" s="1"/>
  <c r="D41" i="45"/>
  <c r="H41" i="45"/>
  <c r="B42" i="45"/>
  <c r="C42" i="45" s="1"/>
  <c r="D42" i="45"/>
  <c r="H42" i="45"/>
  <c r="B43" i="45"/>
  <c r="C43" i="45" s="1"/>
  <c r="D43" i="45"/>
  <c r="H43" i="45"/>
  <c r="B44" i="45"/>
  <c r="C44" i="45" s="1"/>
  <c r="D44" i="45"/>
  <c r="H44" i="45"/>
  <c r="B45" i="45"/>
  <c r="C45" i="45" s="1"/>
  <c r="D45" i="45"/>
  <c r="H45" i="45"/>
  <c r="B46" i="45"/>
  <c r="C46" i="45" s="1"/>
  <c r="D46" i="45"/>
  <c r="H46" i="45"/>
  <c r="B47" i="45"/>
  <c r="C47" i="45" s="1"/>
  <c r="D47" i="45"/>
  <c r="H47" i="45"/>
  <c r="B48" i="45"/>
  <c r="C48" i="45" s="1"/>
  <c r="D48" i="45"/>
  <c r="H48" i="45"/>
  <c r="B49" i="45"/>
  <c r="C49" i="45" s="1"/>
  <c r="D49" i="45"/>
  <c r="H49" i="45"/>
  <c r="B50" i="45"/>
  <c r="C50" i="45" s="1"/>
  <c r="D50" i="45"/>
  <c r="H50" i="45"/>
  <c r="B51" i="45"/>
  <c r="C51" i="45" s="1"/>
  <c r="D51" i="45"/>
  <c r="H51" i="45"/>
  <c r="B52" i="45"/>
  <c r="C52" i="45" s="1"/>
  <c r="D52" i="45"/>
  <c r="H52" i="45"/>
  <c r="B53" i="45"/>
  <c r="C53" i="45" s="1"/>
  <c r="D53" i="45"/>
  <c r="H53" i="45"/>
  <c r="B54" i="45"/>
  <c r="C54" i="45" s="1"/>
  <c r="D54" i="45"/>
  <c r="H54" i="45"/>
  <c r="B55" i="45"/>
  <c r="C55" i="45" s="1"/>
  <c r="D55" i="45"/>
  <c r="H55" i="45"/>
  <c r="B56" i="45"/>
  <c r="C56" i="45" s="1"/>
  <c r="D56" i="45"/>
  <c r="H56" i="45"/>
  <c r="B57" i="45"/>
  <c r="C57" i="45" s="1"/>
  <c r="D57" i="45"/>
  <c r="H57" i="45"/>
  <c r="B58" i="45"/>
  <c r="C58" i="45" s="1"/>
  <c r="D58" i="45"/>
  <c r="H58" i="45"/>
  <c r="B59" i="45"/>
  <c r="C59" i="45" s="1"/>
  <c r="D59" i="45"/>
  <c r="H59" i="45"/>
  <c r="B60" i="45"/>
  <c r="C60" i="45" s="1"/>
  <c r="D60" i="45"/>
  <c r="H60" i="45"/>
  <c r="B61" i="45"/>
  <c r="C61" i="45" s="1"/>
  <c r="D61" i="45"/>
  <c r="H61" i="45"/>
  <c r="B62" i="45"/>
  <c r="C62" i="45" s="1"/>
  <c r="D62" i="45"/>
  <c r="H62" i="45"/>
  <c r="B63" i="45"/>
  <c r="C63" i="45" s="1"/>
  <c r="D63" i="45"/>
  <c r="H63" i="45"/>
  <c r="B64" i="45"/>
  <c r="C64" i="45" s="1"/>
  <c r="D64" i="45"/>
  <c r="H64" i="45"/>
  <c r="B65" i="45"/>
  <c r="C65" i="45" s="1"/>
  <c r="D65" i="45"/>
  <c r="H65" i="45"/>
  <c r="B66" i="45"/>
  <c r="C66" i="45" s="1"/>
  <c r="D66" i="45"/>
  <c r="H66" i="45"/>
  <c r="P4" i="44"/>
  <c r="I5" i="44"/>
  <c r="C6" i="44"/>
  <c r="D6" i="44" s="1"/>
  <c r="I6" i="44"/>
  <c r="N6" i="44"/>
  <c r="C7" i="44"/>
  <c r="D7" i="44" s="1"/>
  <c r="N7" i="44"/>
  <c r="C8" i="44"/>
  <c r="P8" i="44" s="1"/>
  <c r="Q8" i="44" s="1"/>
  <c r="N8" i="44"/>
  <c r="C9" i="44"/>
  <c r="P9" i="44" s="1"/>
  <c r="Q9" i="44" s="1"/>
  <c r="N9" i="44"/>
  <c r="C10" i="44"/>
  <c r="N10" i="44"/>
  <c r="C11" i="44"/>
  <c r="P11" i="44" s="1"/>
  <c r="Q11" i="44" s="1"/>
  <c r="N11" i="44"/>
  <c r="C12" i="44"/>
  <c r="P12" i="44" s="1"/>
  <c r="Q12" i="44" s="1"/>
  <c r="N12" i="44"/>
  <c r="C13" i="44"/>
  <c r="D13" i="44" s="1"/>
  <c r="N13" i="44"/>
  <c r="C14" i="44"/>
  <c r="D14" i="44" s="1"/>
  <c r="N14" i="44"/>
  <c r="P14" i="44"/>
  <c r="Q14" i="44" s="1"/>
  <c r="C15" i="44"/>
  <c r="D15" i="44" s="1"/>
  <c r="N15" i="44"/>
  <c r="C16" i="44"/>
  <c r="D16" i="44" s="1"/>
  <c r="N16" i="44"/>
  <c r="C17" i="44"/>
  <c r="P17" i="44" s="1"/>
  <c r="Q17" i="44" s="1"/>
  <c r="N17" i="44"/>
  <c r="C18" i="44"/>
  <c r="D18" i="44" s="1"/>
  <c r="N18" i="44"/>
  <c r="C19" i="44"/>
  <c r="D19" i="44" s="1"/>
  <c r="N19" i="44"/>
  <c r="C20" i="44"/>
  <c r="D20" i="44" s="1"/>
  <c r="N20" i="44"/>
  <c r="C21" i="44"/>
  <c r="P21" i="44" s="1"/>
  <c r="Q21" i="44" s="1"/>
  <c r="N21" i="44"/>
  <c r="C22" i="44"/>
  <c r="N22" i="44"/>
  <c r="C23" i="44"/>
  <c r="P23" i="44" s="1"/>
  <c r="Q23" i="44" s="1"/>
  <c r="N23" i="44"/>
  <c r="C24" i="44"/>
  <c r="P24" i="44" s="1"/>
  <c r="Q24" i="44" s="1"/>
  <c r="N24" i="44"/>
  <c r="C25" i="44"/>
  <c r="D25" i="44" s="1"/>
  <c r="N25" i="44"/>
  <c r="C26" i="44"/>
  <c r="D26" i="44" s="1"/>
  <c r="N26" i="44"/>
  <c r="C27" i="44"/>
  <c r="D27" i="44" s="1"/>
  <c r="N27" i="44"/>
  <c r="C28" i="44"/>
  <c r="D28" i="44" s="1"/>
  <c r="N28" i="44"/>
  <c r="C29" i="44"/>
  <c r="P29" i="44" s="1"/>
  <c r="Q29" i="44" s="1"/>
  <c r="N29" i="44"/>
  <c r="C30" i="44"/>
  <c r="D30" i="44" s="1"/>
  <c r="N30" i="44"/>
  <c r="C31" i="44"/>
  <c r="D31" i="44" s="1"/>
  <c r="N31" i="44"/>
  <c r="C32" i="44"/>
  <c r="D32" i="44" s="1"/>
  <c r="N32" i="44"/>
  <c r="C33" i="44"/>
  <c r="P33" i="44" s="1"/>
  <c r="Q33" i="44" s="1"/>
  <c r="D33" i="44"/>
  <c r="N33" i="44"/>
  <c r="C34" i="44"/>
  <c r="N34" i="44"/>
  <c r="C35" i="44"/>
  <c r="D35" i="44" s="1"/>
  <c r="N35" i="44"/>
  <c r="C36" i="44"/>
  <c r="P36" i="44" s="1"/>
  <c r="Q36" i="44" s="1"/>
  <c r="N36" i="44"/>
  <c r="C37" i="44"/>
  <c r="D37" i="44" s="1"/>
  <c r="N37" i="44"/>
  <c r="C38" i="44"/>
  <c r="D38" i="44" s="1"/>
  <c r="N38" i="44"/>
  <c r="C39" i="44"/>
  <c r="D39" i="44" s="1"/>
  <c r="N39" i="44"/>
  <c r="C40" i="44"/>
  <c r="P40" i="44" s="1"/>
  <c r="Q40" i="44" s="1"/>
  <c r="N40" i="44"/>
  <c r="C41" i="44"/>
  <c r="P41" i="44" s="1"/>
  <c r="Q41" i="44" s="1"/>
  <c r="N41" i="44"/>
  <c r="C42" i="44"/>
  <c r="D42" i="44" s="1"/>
  <c r="N42" i="44"/>
  <c r="C43" i="44"/>
  <c r="D43" i="44" s="1"/>
  <c r="N43" i="44"/>
  <c r="C44" i="44"/>
  <c r="D44" i="44" s="1"/>
  <c r="N44" i="44"/>
  <c r="C45" i="44"/>
  <c r="D45" i="44" s="1"/>
  <c r="N45" i="44"/>
  <c r="C46" i="44"/>
  <c r="N46" i="44"/>
  <c r="C47" i="44"/>
  <c r="D47" i="44" s="1"/>
  <c r="N47" i="44"/>
  <c r="C48" i="44"/>
  <c r="P48" i="44" s="1"/>
  <c r="Q48" i="44" s="1"/>
  <c r="N48" i="44"/>
  <c r="C49" i="44"/>
  <c r="D49" i="44" s="1"/>
  <c r="N49" i="44"/>
  <c r="C50" i="44"/>
  <c r="D50" i="44" s="1"/>
  <c r="N50" i="44"/>
  <c r="C51" i="44"/>
  <c r="D51" i="44" s="1"/>
  <c r="N51" i="44"/>
  <c r="C52" i="44"/>
  <c r="D52" i="44" s="1"/>
  <c r="N52" i="44"/>
  <c r="C53" i="44"/>
  <c r="P53" i="44" s="1"/>
  <c r="Q53" i="44" s="1"/>
  <c r="N53" i="44"/>
  <c r="C54" i="44"/>
  <c r="P54" i="44" s="1"/>
  <c r="Q54" i="44" s="1"/>
  <c r="D54" i="44"/>
  <c r="N54" i="44"/>
  <c r="C55" i="44"/>
  <c r="D55" i="44" s="1"/>
  <c r="N55" i="44"/>
  <c r="C56" i="44"/>
  <c r="D56" i="44" s="1"/>
  <c r="N56" i="44"/>
  <c r="C57" i="44"/>
  <c r="D57" i="44" s="1"/>
  <c r="N57" i="44"/>
  <c r="C58" i="44"/>
  <c r="N58" i="44"/>
  <c r="C59" i="44"/>
  <c r="D59" i="44" s="1"/>
  <c r="N59" i="44"/>
  <c r="C60" i="44"/>
  <c r="P60" i="44" s="1"/>
  <c r="Q60" i="44" s="1"/>
  <c r="N60" i="44"/>
  <c r="C61" i="44"/>
  <c r="D61" i="44" s="1"/>
  <c r="N61" i="44"/>
  <c r="C62" i="44"/>
  <c r="D62" i="44" s="1"/>
  <c r="N62" i="44"/>
  <c r="C63" i="44"/>
  <c r="D63" i="44" s="1"/>
  <c r="N63" i="44"/>
  <c r="C64" i="44"/>
  <c r="D64" i="44" s="1"/>
  <c r="N64" i="44"/>
  <c r="C65" i="44"/>
  <c r="P65" i="44" s="1"/>
  <c r="Q65" i="44" s="1"/>
  <c r="N65" i="44"/>
  <c r="C66" i="44"/>
  <c r="D66" i="44" s="1"/>
  <c r="N66" i="44"/>
  <c r="C67" i="44"/>
  <c r="P67" i="44" s="1"/>
  <c r="Q67" i="44" s="1"/>
  <c r="N67" i="44"/>
  <c r="C68" i="44"/>
  <c r="P68" i="44" s="1"/>
  <c r="Q68" i="44" s="1"/>
  <c r="N68" i="44"/>
  <c r="C69" i="44"/>
  <c r="D69" i="44"/>
  <c r="N69" i="44"/>
  <c r="P69" i="44"/>
  <c r="Q69" i="44" s="1"/>
  <c r="C70" i="44"/>
  <c r="N70" i="44"/>
  <c r="C71" i="44"/>
  <c r="P71" i="44" s="1"/>
  <c r="Q71" i="44" s="1"/>
  <c r="N71" i="44"/>
  <c r="C72" i="44"/>
  <c r="P72" i="44" s="1"/>
  <c r="Q72" i="44" s="1"/>
  <c r="N72" i="44"/>
  <c r="C73" i="44"/>
  <c r="D73" i="44" s="1"/>
  <c r="N73" i="44"/>
  <c r="C74" i="44"/>
  <c r="D74" i="44" s="1"/>
  <c r="N74" i="44"/>
  <c r="C75" i="44"/>
  <c r="D75" i="44" s="1"/>
  <c r="N75" i="44"/>
  <c r="C76" i="44"/>
  <c r="D76" i="44" s="1"/>
  <c r="N76" i="44"/>
  <c r="C77" i="44"/>
  <c r="P77" i="44" s="1"/>
  <c r="Q77" i="44" s="1"/>
  <c r="N77" i="44"/>
  <c r="C78" i="44"/>
  <c r="P78" i="44" s="1"/>
  <c r="Q78" i="44" s="1"/>
  <c r="N78" i="44"/>
  <c r="C79" i="44"/>
  <c r="D79" i="44" s="1"/>
  <c r="N79" i="44"/>
  <c r="C80" i="44"/>
  <c r="P80" i="44" s="1"/>
  <c r="Q80" i="44" s="1"/>
  <c r="N80" i="44"/>
  <c r="C81" i="44"/>
  <c r="P81" i="44" s="1"/>
  <c r="Q81" i="44" s="1"/>
  <c r="N81" i="44"/>
  <c r="C82" i="44"/>
  <c r="N82" i="44"/>
  <c r="C83" i="44"/>
  <c r="D83" i="44" s="1"/>
  <c r="N83" i="44"/>
  <c r="C84" i="44"/>
  <c r="P84" i="44" s="1"/>
  <c r="Q84" i="44" s="1"/>
  <c r="N84" i="44"/>
  <c r="C85" i="44"/>
  <c r="D85" i="44" s="1"/>
  <c r="N85" i="44"/>
  <c r="C86" i="44"/>
  <c r="D86" i="44" s="1"/>
  <c r="N86" i="44"/>
  <c r="C87" i="44"/>
  <c r="D87" i="44" s="1"/>
  <c r="N87" i="44"/>
  <c r="C88" i="44"/>
  <c r="D88" i="44" s="1"/>
  <c r="N88" i="44"/>
  <c r="C89" i="44"/>
  <c r="P89" i="44" s="1"/>
  <c r="Q89" i="44" s="1"/>
  <c r="N89" i="44"/>
  <c r="C90" i="44"/>
  <c r="P90" i="44" s="1"/>
  <c r="Q90" i="44" s="1"/>
  <c r="N90" i="44"/>
  <c r="C91" i="44"/>
  <c r="D91" i="44" s="1"/>
  <c r="N91" i="44"/>
  <c r="C92" i="44"/>
  <c r="D92" i="44" s="1"/>
  <c r="N92" i="44"/>
  <c r="C93" i="44"/>
  <c r="P93" i="44" s="1"/>
  <c r="Q93" i="44" s="1"/>
  <c r="N93" i="44"/>
  <c r="C94" i="44"/>
  <c r="N94" i="44"/>
  <c r="C95" i="44"/>
  <c r="D95" i="44" s="1"/>
  <c r="N95" i="44"/>
  <c r="C96" i="44"/>
  <c r="P96" i="44" s="1"/>
  <c r="Q96" i="44" s="1"/>
  <c r="N96" i="44"/>
  <c r="C97" i="44"/>
  <c r="D97" i="44" s="1"/>
  <c r="N97" i="44"/>
  <c r="C98" i="44"/>
  <c r="D98" i="44" s="1"/>
  <c r="N98" i="44"/>
  <c r="C99" i="44"/>
  <c r="D99" i="44" s="1"/>
  <c r="N99" i="44"/>
  <c r="C100" i="44"/>
  <c r="D100" i="44" s="1"/>
  <c r="N100" i="44"/>
  <c r="C101" i="44"/>
  <c r="P101" i="44" s="1"/>
  <c r="Q101" i="44" s="1"/>
  <c r="N101" i="44"/>
  <c r="C102" i="44"/>
  <c r="P102" i="44" s="1"/>
  <c r="Q102" i="44" s="1"/>
  <c r="N102" i="44"/>
  <c r="C103" i="44"/>
  <c r="P103" i="44" s="1"/>
  <c r="Q103" i="44" s="1"/>
  <c r="D103" i="44"/>
  <c r="N103" i="44"/>
  <c r="C104" i="44"/>
  <c r="P104" i="44" s="1"/>
  <c r="Q104" i="44" s="1"/>
  <c r="N104" i="44"/>
  <c r="C105" i="44"/>
  <c r="P105" i="44" s="1"/>
  <c r="Q105" i="44" s="1"/>
  <c r="N105" i="44"/>
  <c r="C106" i="44"/>
  <c r="N106" i="44"/>
  <c r="C107" i="44"/>
  <c r="D107" i="44" s="1"/>
  <c r="N107" i="44"/>
  <c r="C108" i="44"/>
  <c r="P108" i="44" s="1"/>
  <c r="Q108" i="44" s="1"/>
  <c r="N108" i="44"/>
  <c r="C109" i="44"/>
  <c r="D109" i="44" s="1"/>
  <c r="N109" i="44"/>
  <c r="C110" i="44"/>
  <c r="D110" i="44" s="1"/>
  <c r="N110" i="44"/>
  <c r="C111" i="44"/>
  <c r="D111" i="44" s="1"/>
  <c r="N111" i="44"/>
  <c r="C112" i="44"/>
  <c r="D112" i="44" s="1"/>
  <c r="N112" i="44"/>
  <c r="C113" i="44"/>
  <c r="P113" i="44" s="1"/>
  <c r="Q113" i="44" s="1"/>
  <c r="N113" i="44"/>
  <c r="C114" i="44"/>
  <c r="P114" i="44" s="1"/>
  <c r="Q114" i="44" s="1"/>
  <c r="N114" i="44"/>
  <c r="C115" i="44"/>
  <c r="D115" i="44" s="1"/>
  <c r="N115" i="44"/>
  <c r="C116" i="44"/>
  <c r="D116" i="44" s="1"/>
  <c r="N116" i="44"/>
  <c r="C117" i="44"/>
  <c r="D117" i="44" s="1"/>
  <c r="N117" i="44"/>
  <c r="C118" i="44"/>
  <c r="N118" i="44"/>
  <c r="C119" i="44"/>
  <c r="D119" i="44" s="1"/>
  <c r="N119" i="44"/>
  <c r="C120" i="44"/>
  <c r="P120" i="44" s="1"/>
  <c r="Q120" i="44" s="1"/>
  <c r="N120" i="44"/>
  <c r="C121" i="44"/>
  <c r="D121" i="44" s="1"/>
  <c r="N121" i="44"/>
  <c r="C122" i="44"/>
  <c r="P122" i="44" s="1"/>
  <c r="Q122" i="44" s="1"/>
  <c r="N122" i="44"/>
  <c r="C123" i="44"/>
  <c r="P123" i="44" s="1"/>
  <c r="Q123" i="44" s="1"/>
  <c r="N123" i="44"/>
  <c r="C124" i="44"/>
  <c r="D124" i="44" s="1"/>
  <c r="N124" i="44"/>
  <c r="C125" i="44"/>
  <c r="P125" i="44" s="1"/>
  <c r="Q125" i="44" s="1"/>
  <c r="N125" i="44"/>
  <c r="C126" i="44"/>
  <c r="P126" i="44" s="1"/>
  <c r="Q126" i="44" s="1"/>
  <c r="N126" i="44"/>
  <c r="C127" i="44"/>
  <c r="P127" i="44" s="1"/>
  <c r="Q127" i="44" s="1"/>
  <c r="N127" i="44"/>
  <c r="C128" i="44"/>
  <c r="D128" i="44" s="1"/>
  <c r="N128" i="44"/>
  <c r="C129" i="44"/>
  <c r="P129" i="44" s="1"/>
  <c r="Q129" i="44" s="1"/>
  <c r="N129" i="44"/>
  <c r="C130" i="44"/>
  <c r="N130" i="44"/>
  <c r="C131" i="44"/>
  <c r="D131" i="44" s="1"/>
  <c r="N131" i="44"/>
  <c r="C132" i="44"/>
  <c r="P132" i="44" s="1"/>
  <c r="Q132" i="44" s="1"/>
  <c r="N132" i="44"/>
  <c r="C133" i="44"/>
  <c r="D133" i="44" s="1"/>
  <c r="N133" i="44"/>
  <c r="C134" i="44"/>
  <c r="D134" i="44" s="1"/>
  <c r="N134" i="44"/>
  <c r="C135" i="44"/>
  <c r="P135" i="44" s="1"/>
  <c r="Q135" i="44" s="1"/>
  <c r="N135" i="44"/>
  <c r="C136" i="44"/>
  <c r="D136" i="44" s="1"/>
  <c r="N136" i="44"/>
  <c r="C137" i="44"/>
  <c r="P137" i="44" s="1"/>
  <c r="Q137" i="44" s="1"/>
  <c r="N137" i="44"/>
  <c r="C138" i="44"/>
  <c r="D138" i="44" s="1"/>
  <c r="N138" i="44"/>
  <c r="C139" i="44"/>
  <c r="D139" i="44" s="1"/>
  <c r="N139" i="44"/>
  <c r="C140" i="44"/>
  <c r="D140" i="44" s="1"/>
  <c r="N140" i="44"/>
  <c r="C141" i="44"/>
  <c r="P141" i="44" s="1"/>
  <c r="Q141" i="44" s="1"/>
  <c r="N141" i="44"/>
  <c r="C142" i="44"/>
  <c r="N142" i="44"/>
  <c r="C143" i="44"/>
  <c r="P143" i="44" s="1"/>
  <c r="Q143" i="44" s="1"/>
  <c r="N143" i="44"/>
  <c r="C144" i="44"/>
  <c r="P144" i="44" s="1"/>
  <c r="Q144" i="44" s="1"/>
  <c r="N144" i="44"/>
  <c r="C145" i="44"/>
  <c r="D145" i="44" s="1"/>
  <c r="N145" i="44"/>
  <c r="C146" i="44"/>
  <c r="D146" i="44" s="1"/>
  <c r="N146" i="44"/>
  <c r="C147" i="44"/>
  <c r="P147" i="44" s="1"/>
  <c r="Q147" i="44" s="1"/>
  <c r="N147" i="44"/>
  <c r="C148" i="44"/>
  <c r="P148" i="44" s="1"/>
  <c r="Q148" i="44" s="1"/>
  <c r="N148" i="44"/>
  <c r="C149" i="44"/>
  <c r="P149" i="44" s="1"/>
  <c r="Q149" i="44" s="1"/>
  <c r="N149" i="44"/>
  <c r="C150" i="44"/>
  <c r="D150" i="44" s="1"/>
  <c r="N150" i="44"/>
  <c r="C151" i="44"/>
  <c r="D151" i="44" s="1"/>
  <c r="N151" i="44"/>
  <c r="C152" i="44"/>
  <c r="D152" i="44" s="1"/>
  <c r="N152" i="44"/>
  <c r="C153" i="44"/>
  <c r="D153" i="44" s="1"/>
  <c r="N153" i="44"/>
  <c r="C154" i="44"/>
  <c r="N154" i="44"/>
  <c r="C155" i="44"/>
  <c r="D155" i="44" s="1"/>
  <c r="N155" i="44"/>
  <c r="C156" i="44"/>
  <c r="P156" i="44" s="1"/>
  <c r="Q156" i="44" s="1"/>
  <c r="N156" i="44"/>
  <c r="C157" i="44"/>
  <c r="D157" i="44" s="1"/>
  <c r="N157" i="44"/>
  <c r="C158" i="44"/>
  <c r="D158" i="44" s="1"/>
  <c r="N158" i="44"/>
  <c r="C159" i="44"/>
  <c r="P159" i="44" s="1"/>
  <c r="Q159" i="44" s="1"/>
  <c r="N159" i="44"/>
  <c r="C160" i="44"/>
  <c r="D160" i="44" s="1"/>
  <c r="N160" i="44"/>
  <c r="C161" i="44"/>
  <c r="P161" i="44" s="1"/>
  <c r="Q161" i="44" s="1"/>
  <c r="N161" i="44"/>
  <c r="C162" i="44"/>
  <c r="D162" i="44" s="1"/>
  <c r="N162" i="44"/>
  <c r="C163" i="44"/>
  <c r="D163" i="44" s="1"/>
  <c r="N163" i="44"/>
  <c r="C164" i="44"/>
  <c r="D164" i="44" s="1"/>
  <c r="N164" i="44"/>
  <c r="C165" i="44"/>
  <c r="P165" i="44" s="1"/>
  <c r="Q165" i="44" s="1"/>
  <c r="N165" i="44"/>
  <c r="C166" i="44"/>
  <c r="N166" i="44"/>
  <c r="C167" i="44"/>
  <c r="P167" i="44" s="1"/>
  <c r="Q167" i="44" s="1"/>
  <c r="N167" i="44"/>
  <c r="C168" i="44"/>
  <c r="P168" i="44" s="1"/>
  <c r="Q168" i="44" s="1"/>
  <c r="D168" i="44"/>
  <c r="N168" i="44"/>
  <c r="C169" i="44"/>
  <c r="D169" i="44" s="1"/>
  <c r="N169" i="44"/>
  <c r="C170" i="44"/>
  <c r="D170" i="44" s="1"/>
  <c r="N170" i="44"/>
  <c r="C171" i="44"/>
  <c r="P171" i="44" s="1"/>
  <c r="Q171" i="44" s="1"/>
  <c r="N171" i="44"/>
  <c r="C172" i="44"/>
  <c r="P172" i="44" s="1"/>
  <c r="Q172" i="44" s="1"/>
  <c r="N172" i="44"/>
  <c r="C173" i="44"/>
  <c r="P173" i="44" s="1"/>
  <c r="Q173" i="44" s="1"/>
  <c r="N173" i="44"/>
  <c r="C174" i="44"/>
  <c r="D174" i="44" s="1"/>
  <c r="N174" i="44"/>
  <c r="C175" i="44"/>
  <c r="D175" i="44" s="1"/>
  <c r="N175" i="44"/>
  <c r="C176" i="44"/>
  <c r="D176" i="44" s="1"/>
  <c r="N176" i="44"/>
  <c r="C177" i="44"/>
  <c r="D177" i="44" s="1"/>
  <c r="N177" i="44"/>
  <c r="C178" i="44"/>
  <c r="N178" i="44"/>
  <c r="C179" i="44"/>
  <c r="D179" i="44" s="1"/>
  <c r="N179" i="44"/>
  <c r="C180" i="44"/>
  <c r="P180" i="44" s="1"/>
  <c r="Q180" i="44" s="1"/>
  <c r="N180" i="44"/>
  <c r="C181" i="44"/>
  <c r="D181" i="44" s="1"/>
  <c r="N181" i="44"/>
  <c r="C182" i="44"/>
  <c r="D182" i="44" s="1"/>
  <c r="N182" i="44"/>
  <c r="C183" i="44"/>
  <c r="P183" i="44" s="1"/>
  <c r="Q183" i="44" s="1"/>
  <c r="N183" i="44"/>
  <c r="C184" i="44"/>
  <c r="P184" i="44" s="1"/>
  <c r="Q184" i="44" s="1"/>
  <c r="N184" i="44"/>
  <c r="C185" i="44"/>
  <c r="P185" i="44" s="1"/>
  <c r="Q185" i="44" s="1"/>
  <c r="N185" i="44"/>
  <c r="C186" i="44"/>
  <c r="D186" i="44" s="1"/>
  <c r="N186" i="44"/>
  <c r="C187" i="44"/>
  <c r="P187" i="44" s="1"/>
  <c r="Q187" i="44" s="1"/>
  <c r="N187" i="44"/>
  <c r="C188" i="44"/>
  <c r="D188" i="44" s="1"/>
  <c r="N188" i="44"/>
  <c r="C189" i="44"/>
  <c r="D189" i="44" s="1"/>
  <c r="N189" i="44"/>
  <c r="C190" i="44"/>
  <c r="N190" i="44"/>
  <c r="C191" i="44"/>
  <c r="P191" i="44" s="1"/>
  <c r="Q191" i="44" s="1"/>
  <c r="N191" i="44"/>
  <c r="C192" i="44"/>
  <c r="P192" i="44" s="1"/>
  <c r="Q192" i="44" s="1"/>
  <c r="N192" i="44"/>
  <c r="C193" i="44"/>
  <c r="D193" i="44" s="1"/>
  <c r="N193" i="44"/>
  <c r="C194" i="44"/>
  <c r="D194" i="44" s="1"/>
  <c r="N194" i="44"/>
  <c r="C195" i="44"/>
  <c r="P195" i="44" s="1"/>
  <c r="Q195" i="44" s="1"/>
  <c r="N195" i="44"/>
  <c r="C196" i="44"/>
  <c r="P196" i="44" s="1"/>
  <c r="Q196" i="44" s="1"/>
  <c r="N196" i="44"/>
  <c r="C197" i="44"/>
  <c r="P197" i="44" s="1"/>
  <c r="Q197" i="44" s="1"/>
  <c r="N197" i="44"/>
  <c r="C198" i="44"/>
  <c r="D198" i="44" s="1"/>
  <c r="N198" i="44"/>
  <c r="C199" i="44"/>
  <c r="P199" i="44" s="1"/>
  <c r="Q199" i="44" s="1"/>
  <c r="N199" i="44"/>
  <c r="C200" i="44"/>
  <c r="D200" i="44" s="1"/>
  <c r="N200" i="44"/>
  <c r="C201" i="44"/>
  <c r="D201" i="44" s="1"/>
  <c r="N201" i="44"/>
  <c r="C202" i="44"/>
  <c r="N202" i="44"/>
  <c r="C203" i="44"/>
  <c r="D203" i="44" s="1"/>
  <c r="N203" i="44"/>
  <c r="C204" i="44"/>
  <c r="P204" i="44" s="1"/>
  <c r="Q204" i="44" s="1"/>
  <c r="N204" i="44"/>
  <c r="C205" i="44"/>
  <c r="D205" i="44" s="1"/>
  <c r="N205" i="44"/>
  <c r="C206" i="44"/>
  <c r="P206" i="44" s="1"/>
  <c r="Q206" i="44" s="1"/>
  <c r="N206" i="44"/>
  <c r="C207" i="44"/>
  <c r="P207" i="44" s="1"/>
  <c r="Q207" i="44" s="1"/>
  <c r="N207" i="44"/>
  <c r="C208" i="44"/>
  <c r="D208" i="44" s="1"/>
  <c r="N208" i="44"/>
  <c r="C209" i="44"/>
  <c r="P209" i="44" s="1"/>
  <c r="Q209" i="44" s="1"/>
  <c r="N209" i="44"/>
  <c r="C210" i="44"/>
  <c r="D210" i="44" s="1"/>
  <c r="N210" i="44"/>
  <c r="C211" i="44"/>
  <c r="D211" i="44" s="1"/>
  <c r="N211" i="44"/>
  <c r="C212" i="44"/>
  <c r="D212" i="44" s="1"/>
  <c r="N212" i="44"/>
  <c r="C213" i="44"/>
  <c r="P213" i="44" s="1"/>
  <c r="Q213" i="44" s="1"/>
  <c r="N213" i="44"/>
  <c r="C214" i="44"/>
  <c r="N214" i="44"/>
  <c r="C215" i="44"/>
  <c r="P215" i="44" s="1"/>
  <c r="Q215" i="44" s="1"/>
  <c r="N215" i="44"/>
  <c r="C216" i="44"/>
  <c r="P216" i="44" s="1"/>
  <c r="Q216" i="44" s="1"/>
  <c r="N216" i="44"/>
  <c r="C217" i="44"/>
  <c r="D217" i="44" s="1"/>
  <c r="N217" i="44"/>
  <c r="C218" i="44"/>
  <c r="P218" i="44" s="1"/>
  <c r="Q218" i="44" s="1"/>
  <c r="N218" i="44"/>
  <c r="C219" i="44"/>
  <c r="P219" i="44" s="1"/>
  <c r="Q219" i="44" s="1"/>
  <c r="N219" i="44"/>
  <c r="C220" i="44"/>
  <c r="D220" i="44" s="1"/>
  <c r="N220" i="44"/>
  <c r="C221" i="44"/>
  <c r="P221" i="44" s="1"/>
  <c r="Q221" i="44" s="1"/>
  <c r="N221" i="44"/>
  <c r="C222" i="44"/>
  <c r="D222" i="44" s="1"/>
  <c r="N222" i="44"/>
  <c r="C223" i="44"/>
  <c r="D223" i="44" s="1"/>
  <c r="N223" i="44"/>
  <c r="C224" i="44"/>
  <c r="D224" i="44" s="1"/>
  <c r="N224" i="44"/>
  <c r="C225" i="44"/>
  <c r="D225" i="44" s="1"/>
  <c r="N225" i="44"/>
  <c r="C226" i="44"/>
  <c r="N226" i="44"/>
  <c r="C227" i="44"/>
  <c r="P227" i="44" s="1"/>
  <c r="Q227" i="44" s="1"/>
  <c r="N227" i="44"/>
  <c r="C228" i="44"/>
  <c r="P228" i="44" s="1"/>
  <c r="Q228" i="44" s="1"/>
  <c r="N228" i="44"/>
  <c r="C229" i="44"/>
  <c r="D229" i="44" s="1"/>
  <c r="N229" i="44"/>
  <c r="C230" i="44"/>
  <c r="D230" i="44" s="1"/>
  <c r="N230" i="44"/>
  <c r="C231" i="44"/>
  <c r="P231" i="44" s="1"/>
  <c r="Q231" i="44" s="1"/>
  <c r="N231" i="44"/>
  <c r="C232" i="44"/>
  <c r="D232" i="44" s="1"/>
  <c r="N232" i="44"/>
  <c r="C233" i="44"/>
  <c r="P233" i="44" s="1"/>
  <c r="Q233" i="44" s="1"/>
  <c r="N233" i="44"/>
  <c r="C234" i="44"/>
  <c r="D234" i="44" s="1"/>
  <c r="N234" i="44"/>
  <c r="C235" i="44"/>
  <c r="D235" i="44" s="1"/>
  <c r="N235" i="44"/>
  <c r="C236" i="44"/>
  <c r="D236" i="44" s="1"/>
  <c r="N236" i="44"/>
  <c r="C237" i="44"/>
  <c r="P237" i="44" s="1"/>
  <c r="Q237" i="44" s="1"/>
  <c r="N237" i="44"/>
  <c r="C238" i="44"/>
  <c r="N238" i="44"/>
  <c r="C239" i="44"/>
  <c r="P239" i="44" s="1"/>
  <c r="Q239" i="44" s="1"/>
  <c r="N239" i="44"/>
  <c r="C240" i="44"/>
  <c r="P240" i="44" s="1"/>
  <c r="Q240" i="44" s="1"/>
  <c r="N240" i="44"/>
  <c r="C241" i="44"/>
  <c r="D241" i="44" s="1"/>
  <c r="N241" i="44"/>
  <c r="C242" i="44"/>
  <c r="D242" i="44" s="1"/>
  <c r="N242" i="44"/>
  <c r="P242" i="44"/>
  <c r="Q242" i="44" s="1"/>
  <c r="C243" i="44"/>
  <c r="D243" i="44" s="1"/>
  <c r="N243" i="44"/>
  <c r="C244" i="44"/>
  <c r="P244" i="44" s="1"/>
  <c r="Q244" i="44" s="1"/>
  <c r="N244" i="44"/>
  <c r="C245" i="44"/>
  <c r="P245" i="44" s="1"/>
  <c r="Q245" i="44" s="1"/>
  <c r="D245" i="44"/>
  <c r="N245" i="44"/>
  <c r="C246" i="44"/>
  <c r="D246" i="44" s="1"/>
  <c r="N246" i="44"/>
  <c r="C247" i="44"/>
  <c r="P247" i="44" s="1"/>
  <c r="Q247" i="44" s="1"/>
  <c r="N247" i="44"/>
  <c r="C248" i="44"/>
  <c r="D248" i="44" s="1"/>
  <c r="N248" i="44"/>
  <c r="C249" i="44"/>
  <c r="P249" i="44" s="1"/>
  <c r="Q249" i="44" s="1"/>
  <c r="N249" i="44"/>
  <c r="C250" i="44"/>
  <c r="N250" i="44"/>
  <c r="C251" i="44"/>
  <c r="P251" i="44" s="1"/>
  <c r="Q251" i="44" s="1"/>
  <c r="D251" i="44"/>
  <c r="N251" i="44"/>
  <c r="C252" i="44"/>
  <c r="P252" i="44" s="1"/>
  <c r="Q252" i="44" s="1"/>
  <c r="N252" i="44"/>
  <c r="C253" i="44"/>
  <c r="D253" i="44" s="1"/>
  <c r="N253" i="44"/>
  <c r="C254" i="44"/>
  <c r="D254" i="44" s="1"/>
  <c r="N254" i="44"/>
  <c r="C255" i="44"/>
  <c r="D255" i="44" s="1"/>
  <c r="N255" i="44"/>
  <c r="C256" i="44"/>
  <c r="D256" i="44" s="1"/>
  <c r="N256" i="44"/>
  <c r="C257" i="44"/>
  <c r="P257" i="44" s="1"/>
  <c r="Q257" i="44" s="1"/>
  <c r="N257" i="44"/>
  <c r="C258" i="44"/>
  <c r="D258" i="44" s="1"/>
  <c r="N258" i="44"/>
  <c r="C259" i="44"/>
  <c r="P259" i="44" s="1"/>
  <c r="Q259" i="44" s="1"/>
  <c r="D259" i="44"/>
  <c r="N259" i="44"/>
  <c r="C260" i="44"/>
  <c r="D260" i="44" s="1"/>
  <c r="N260" i="44"/>
  <c r="C261" i="44"/>
  <c r="D261" i="44" s="1"/>
  <c r="N261" i="44"/>
  <c r="C262" i="44"/>
  <c r="N262" i="44"/>
  <c r="C263" i="44"/>
  <c r="D263" i="44" s="1"/>
  <c r="N263" i="44"/>
  <c r="C264" i="44"/>
  <c r="P264" i="44" s="1"/>
  <c r="Q264" i="44" s="1"/>
  <c r="N264" i="44"/>
  <c r="C265" i="44"/>
  <c r="D265" i="44" s="1"/>
  <c r="N265" i="44"/>
  <c r="C266" i="44"/>
  <c r="D266" i="44" s="1"/>
  <c r="N266" i="44"/>
  <c r="C267" i="44"/>
  <c r="P267" i="44" s="1"/>
  <c r="Q267" i="44" s="1"/>
  <c r="D267" i="44"/>
  <c r="N267" i="44"/>
  <c r="C268" i="44"/>
  <c r="D268" i="44" s="1"/>
  <c r="N268" i="44"/>
  <c r="C269" i="44"/>
  <c r="P269" i="44" s="1"/>
  <c r="Q269" i="44" s="1"/>
  <c r="N269" i="44"/>
  <c r="C270" i="44"/>
  <c r="D270" i="44" s="1"/>
  <c r="N270" i="44"/>
  <c r="C271" i="44"/>
  <c r="P271" i="44" s="1"/>
  <c r="Q271" i="44" s="1"/>
  <c r="N271" i="44"/>
  <c r="C272" i="44"/>
  <c r="D272" i="44" s="1"/>
  <c r="N272" i="44"/>
  <c r="C273" i="44"/>
  <c r="P273" i="44" s="1"/>
  <c r="Q273" i="44" s="1"/>
  <c r="N273" i="44"/>
  <c r="C274" i="44"/>
  <c r="N274" i="44"/>
  <c r="C275" i="44"/>
  <c r="D275" i="44" s="1"/>
  <c r="N275" i="44"/>
  <c r="C276" i="44"/>
  <c r="P276" i="44" s="1"/>
  <c r="Q276" i="44" s="1"/>
  <c r="N276" i="44"/>
  <c r="C277" i="44"/>
  <c r="D277" i="44" s="1"/>
  <c r="N277" i="44"/>
  <c r="C278" i="44"/>
  <c r="D278" i="44" s="1"/>
  <c r="N278" i="44"/>
  <c r="C279" i="44"/>
  <c r="D279" i="44" s="1"/>
  <c r="N279" i="44"/>
  <c r="C280" i="44"/>
  <c r="D280" i="44" s="1"/>
  <c r="N280" i="44"/>
  <c r="C281" i="44"/>
  <c r="P281" i="44" s="1"/>
  <c r="Q281" i="44" s="1"/>
  <c r="N281" i="44"/>
  <c r="C282" i="44"/>
  <c r="D282" i="44" s="1"/>
  <c r="N282" i="44"/>
  <c r="C283" i="44"/>
  <c r="D283" i="44" s="1"/>
  <c r="N283" i="44"/>
  <c r="C284" i="44"/>
  <c r="D284" i="44" s="1"/>
  <c r="N284" i="44"/>
  <c r="C285" i="44"/>
  <c r="D285" i="44" s="1"/>
  <c r="N285" i="44"/>
  <c r="C286" i="44"/>
  <c r="N286" i="44"/>
  <c r="C287" i="44"/>
  <c r="P287" i="44" s="1"/>
  <c r="Q287" i="44" s="1"/>
  <c r="N287" i="44"/>
  <c r="C288" i="44"/>
  <c r="P288" i="44" s="1"/>
  <c r="Q288" i="44" s="1"/>
  <c r="N288" i="44"/>
  <c r="C289" i="44"/>
  <c r="D289" i="44" s="1"/>
  <c r="N289" i="44"/>
  <c r="C290" i="44"/>
  <c r="D290" i="44" s="1"/>
  <c r="N290" i="44"/>
  <c r="P290" i="44"/>
  <c r="Q290" i="44" s="1"/>
  <c r="C291" i="44"/>
  <c r="D291" i="44" s="1"/>
  <c r="N291" i="44"/>
  <c r="C292" i="44"/>
  <c r="P292" i="44" s="1"/>
  <c r="Q292" i="44" s="1"/>
  <c r="N292" i="44"/>
  <c r="C293" i="44"/>
  <c r="P293" i="44" s="1"/>
  <c r="Q293" i="44" s="1"/>
  <c r="N293" i="44"/>
  <c r="C294" i="44"/>
  <c r="D294" i="44" s="1"/>
  <c r="N294" i="44"/>
  <c r="C295" i="44"/>
  <c r="P295" i="44" s="1"/>
  <c r="Q295" i="44" s="1"/>
  <c r="N295" i="44"/>
  <c r="C296" i="44"/>
  <c r="D296" i="44" s="1"/>
  <c r="N296" i="44"/>
  <c r="C297" i="44"/>
  <c r="D297" i="44" s="1"/>
  <c r="N297" i="44"/>
  <c r="C298" i="44"/>
  <c r="N298" i="44"/>
  <c r="C299" i="44"/>
  <c r="P299" i="44" s="1"/>
  <c r="Q299" i="44" s="1"/>
  <c r="N299" i="44"/>
  <c r="C300" i="44"/>
  <c r="P300" i="44" s="1"/>
  <c r="Q300" i="44" s="1"/>
  <c r="N300" i="44"/>
  <c r="C301" i="44"/>
  <c r="D301" i="44" s="1"/>
  <c r="N301" i="44"/>
  <c r="C302" i="44"/>
  <c r="D302" i="44" s="1"/>
  <c r="N302" i="44"/>
  <c r="C303" i="44"/>
  <c r="P303" i="44" s="1"/>
  <c r="Q303" i="44" s="1"/>
  <c r="N303" i="44"/>
  <c r="C304" i="44"/>
  <c r="P304" i="44" s="1"/>
  <c r="Q304" i="44" s="1"/>
  <c r="N304" i="44"/>
  <c r="C305" i="44"/>
  <c r="D305" i="44" s="1"/>
  <c r="N305" i="44"/>
  <c r="C306" i="44"/>
  <c r="D306" i="44" s="1"/>
  <c r="N306" i="44"/>
  <c r="C307" i="44"/>
  <c r="D307" i="44" s="1"/>
  <c r="N307" i="44"/>
  <c r="C308" i="44"/>
  <c r="N308" i="44"/>
  <c r="C309" i="44"/>
  <c r="D309" i="44" s="1"/>
  <c r="N309" i="44"/>
  <c r="P309" i="44"/>
  <c r="Q309" i="44" s="1"/>
  <c r="C310" i="44"/>
  <c r="N310" i="44"/>
  <c r="C311" i="44"/>
  <c r="P311" i="44" s="1"/>
  <c r="Q311" i="44" s="1"/>
  <c r="N311" i="44"/>
  <c r="C312" i="44"/>
  <c r="P312" i="44" s="1"/>
  <c r="Q312" i="44" s="1"/>
  <c r="N312" i="44"/>
  <c r="C313" i="44"/>
  <c r="D313" i="44" s="1"/>
  <c r="N313" i="44"/>
  <c r="C314" i="44"/>
  <c r="P314" i="44" s="1"/>
  <c r="Q314" i="44" s="1"/>
  <c r="N314" i="44"/>
  <c r="C315" i="44"/>
  <c r="D315" i="44" s="1"/>
  <c r="N315" i="44"/>
  <c r="C316" i="44"/>
  <c r="D316" i="44" s="1"/>
  <c r="N316" i="44"/>
  <c r="C317" i="44"/>
  <c r="D317" i="44" s="1"/>
  <c r="N317" i="44"/>
  <c r="C318" i="44"/>
  <c r="D318" i="44" s="1"/>
  <c r="N318" i="44"/>
  <c r="C319" i="44"/>
  <c r="P319" i="44" s="1"/>
  <c r="Q319" i="44" s="1"/>
  <c r="N319" i="44"/>
  <c r="C320" i="44"/>
  <c r="N320" i="44"/>
  <c r="C321" i="44"/>
  <c r="P321" i="44" s="1"/>
  <c r="Q321" i="44" s="1"/>
  <c r="N321" i="44"/>
  <c r="C322" i="44"/>
  <c r="N322" i="44"/>
  <c r="C323" i="44"/>
  <c r="D323" i="44" s="1"/>
  <c r="N323" i="44"/>
  <c r="C324" i="44"/>
  <c r="P324" i="44" s="1"/>
  <c r="Q324" i="44" s="1"/>
  <c r="N324" i="44"/>
  <c r="C325" i="44"/>
  <c r="D325" i="44" s="1"/>
  <c r="N325" i="44"/>
  <c r="C326" i="44"/>
  <c r="D326" i="44" s="1"/>
  <c r="N326" i="44"/>
  <c r="C327" i="44"/>
  <c r="D327" i="44" s="1"/>
  <c r="N327" i="44"/>
  <c r="C328" i="44"/>
  <c r="P328" i="44" s="1"/>
  <c r="Q328" i="44" s="1"/>
  <c r="N328" i="44"/>
  <c r="C329" i="44"/>
  <c r="D329" i="44" s="1"/>
  <c r="N329" i="44"/>
  <c r="C330" i="44"/>
  <c r="D330" i="44" s="1"/>
  <c r="N330" i="44"/>
  <c r="C331" i="44"/>
  <c r="D331" i="44" s="1"/>
  <c r="N331" i="44"/>
  <c r="C332" i="44"/>
  <c r="N332" i="44"/>
  <c r="C333" i="44"/>
  <c r="D333" i="44" s="1"/>
  <c r="N333" i="44"/>
  <c r="C334" i="44"/>
  <c r="D334" i="44" s="1"/>
  <c r="N334" i="44"/>
  <c r="C335" i="44"/>
  <c r="D335" i="44"/>
  <c r="N335" i="44"/>
  <c r="P335" i="44"/>
  <c r="Q335" i="44" s="1"/>
  <c r="C336" i="44"/>
  <c r="P336" i="44" s="1"/>
  <c r="Q336" i="44" s="1"/>
  <c r="N336" i="44"/>
  <c r="C337" i="44"/>
  <c r="D337" i="44" s="1"/>
  <c r="N337" i="44"/>
  <c r="C338" i="44"/>
  <c r="P338" i="44" s="1"/>
  <c r="Q338" i="44" s="1"/>
  <c r="D338" i="44"/>
  <c r="N338" i="44"/>
  <c r="C339" i="44"/>
  <c r="D339" i="44" s="1"/>
  <c r="N339" i="44"/>
  <c r="C340" i="44"/>
  <c r="D340" i="44" s="1"/>
  <c r="N340" i="44"/>
  <c r="C341" i="44"/>
  <c r="P341" i="44" s="1"/>
  <c r="Q341" i="44" s="1"/>
  <c r="N341" i="44"/>
  <c r="C342" i="44"/>
  <c r="D342" i="44" s="1"/>
  <c r="N342" i="44"/>
  <c r="C343" i="44"/>
  <c r="D343" i="44" s="1"/>
  <c r="N343" i="44"/>
  <c r="C344" i="44"/>
  <c r="P344" i="44" s="1"/>
  <c r="Q344" i="44" s="1"/>
  <c r="N344" i="44"/>
  <c r="C345" i="44"/>
  <c r="D345" i="44" s="1"/>
  <c r="N345" i="44"/>
  <c r="C346" i="44"/>
  <c r="P346" i="44" s="1"/>
  <c r="Q346" i="44" s="1"/>
  <c r="N346" i="44"/>
  <c r="C347" i="44"/>
  <c r="D347" i="44" s="1"/>
  <c r="N347" i="44"/>
  <c r="C348" i="44"/>
  <c r="P348" i="44" s="1"/>
  <c r="Q348" i="44" s="1"/>
  <c r="N348" i="44"/>
  <c r="C349" i="44"/>
  <c r="P349" i="44" s="1"/>
  <c r="Q349" i="44" s="1"/>
  <c r="N349" i="44"/>
  <c r="C350" i="44"/>
  <c r="D350" i="44" s="1"/>
  <c r="N350" i="44"/>
  <c r="C351" i="44"/>
  <c r="D351" i="44" s="1"/>
  <c r="N351" i="44"/>
  <c r="C352" i="44"/>
  <c r="D352" i="44" s="1"/>
  <c r="N352" i="44"/>
  <c r="C353" i="44"/>
  <c r="D353" i="44" s="1"/>
  <c r="N353" i="44"/>
  <c r="W12" i="39"/>
  <c r="V12" i="39"/>
  <c r="W11" i="39"/>
  <c r="V11" i="39"/>
  <c r="W8" i="39"/>
  <c r="W7" i="39"/>
  <c r="W9" i="39"/>
  <c r="V9" i="39"/>
  <c r="V7" i="39"/>
  <c r="W6" i="39"/>
  <c r="W5" i="39"/>
  <c r="V6" i="39"/>
  <c r="V5" i="39"/>
  <c r="W4" i="39"/>
  <c r="V4" i="39"/>
  <c r="G61" i="40"/>
  <c r="G62" i="40"/>
  <c r="G63" i="40"/>
  <c r="G64" i="40"/>
  <c r="G65" i="40"/>
  <c r="G66" i="40"/>
  <c r="G67" i="40"/>
  <c r="G68" i="40"/>
  <c r="G69" i="40"/>
  <c r="G70" i="40"/>
  <c r="G71" i="40"/>
  <c r="G72" i="40"/>
  <c r="G73" i="40"/>
  <c r="G74" i="40"/>
  <c r="G75" i="40"/>
  <c r="G76" i="40"/>
  <c r="G77" i="40"/>
  <c r="G78" i="40"/>
  <c r="G79" i="40"/>
  <c r="G80" i="40"/>
  <c r="G81" i="40"/>
  <c r="G82" i="40"/>
  <c r="G83" i="40"/>
  <c r="G84" i="40"/>
  <c r="G85" i="40"/>
  <c r="G86" i="40"/>
  <c r="G87" i="40"/>
  <c r="G88" i="40"/>
  <c r="G89" i="40"/>
  <c r="G90" i="40"/>
  <c r="G91" i="40"/>
  <c r="G92" i="40"/>
  <c r="G93" i="40"/>
  <c r="G94" i="40"/>
  <c r="G95" i="40"/>
  <c r="B3" i="39"/>
  <c r="P2" i="39" s="1"/>
  <c r="S2" i="39" s="1"/>
  <c r="E5" i="42"/>
  <c r="E10" i="42"/>
  <c r="E4" i="42"/>
  <c r="B5" i="39"/>
  <c r="P6" i="39"/>
  <c r="S12" i="39"/>
  <c r="N62" i="46" l="1"/>
  <c r="F79" i="46"/>
  <c r="N79" i="46" s="1"/>
  <c r="I11" i="46"/>
  <c r="K11" i="46" s="1"/>
  <c r="L11" i="46" s="1"/>
  <c r="N41" i="46"/>
  <c r="A45" i="46"/>
  <c r="A31" i="46"/>
  <c r="I31" i="46" s="1"/>
  <c r="K31" i="46" s="1"/>
  <c r="L31" i="46" s="1"/>
  <c r="A46" i="46"/>
  <c r="J6" i="46"/>
  <c r="L5" i="46" s="1"/>
  <c r="J9" i="46" s="1"/>
  <c r="P291" i="44"/>
  <c r="Q291" i="44" s="1"/>
  <c r="P88" i="44"/>
  <c r="Q88" i="44" s="1"/>
  <c r="D314" i="44"/>
  <c r="D244" i="44"/>
  <c r="D227" i="44"/>
  <c r="D93" i="44"/>
  <c r="D36" i="44"/>
  <c r="D319" i="44"/>
  <c r="D143" i="44"/>
  <c r="D114" i="44"/>
  <c r="P278" i="44"/>
  <c r="Q278" i="44" s="1"/>
  <c r="P124" i="44"/>
  <c r="Q124" i="44" s="1"/>
  <c r="D96" i="44"/>
  <c r="D90" i="44"/>
  <c r="P277" i="44"/>
  <c r="Q277" i="44" s="1"/>
  <c r="P145" i="44"/>
  <c r="Q145" i="44" s="1"/>
  <c r="D348" i="44"/>
  <c r="P327" i="44"/>
  <c r="Q327" i="44" s="1"/>
  <c r="P294" i="44"/>
  <c r="Q294" i="44" s="1"/>
  <c r="P268" i="44"/>
  <c r="Q268" i="44" s="1"/>
  <c r="P151" i="44"/>
  <c r="Q151" i="44" s="1"/>
  <c r="P73" i="44"/>
  <c r="Q73" i="44" s="1"/>
  <c r="P57" i="44"/>
  <c r="Q57" i="44" s="1"/>
  <c r="P7" i="39"/>
  <c r="S6" i="39" s="1"/>
  <c r="D321" i="44"/>
  <c r="P83" i="44"/>
  <c r="Q83" i="44" s="1"/>
  <c r="D207" i="44"/>
  <c r="P339" i="44"/>
  <c r="Q339" i="44" s="1"/>
  <c r="P222" i="44"/>
  <c r="Q222" i="44" s="1"/>
  <c r="P205" i="44"/>
  <c r="Q205" i="44" s="1"/>
  <c r="P59" i="44"/>
  <c r="Q59" i="44" s="1"/>
  <c r="P49" i="44"/>
  <c r="Q49" i="44" s="1"/>
  <c r="D165" i="44"/>
  <c r="D328" i="44"/>
  <c r="P353" i="44"/>
  <c r="Q353" i="44" s="1"/>
  <c r="P317" i="44"/>
  <c r="Q317" i="44" s="1"/>
  <c r="P186" i="44"/>
  <c r="Q186" i="44" s="1"/>
  <c r="P79" i="44"/>
  <c r="Q79" i="44" s="1"/>
  <c r="P8" i="39"/>
  <c r="S7" i="39" s="1"/>
  <c r="S5" i="39"/>
  <c r="H15" i="48"/>
  <c r="B17" i="48" s="1"/>
  <c r="C21" i="48"/>
  <c r="E15" i="48"/>
  <c r="D15" i="48"/>
  <c r="F7" i="48"/>
  <c r="C22" i="48"/>
  <c r="B10" i="48"/>
  <c r="D22" i="48"/>
  <c r="G9" i="43"/>
  <c r="M9" i="43" s="1"/>
  <c r="G7" i="43"/>
  <c r="M7" i="43" s="1"/>
  <c r="J5" i="43"/>
  <c r="J7" i="43"/>
  <c r="J9" i="43"/>
  <c r="L5" i="43"/>
  <c r="L9" i="43"/>
  <c r="F6" i="43"/>
  <c r="F8" i="43"/>
  <c r="F10" i="43"/>
  <c r="G6" i="43"/>
  <c r="G8" i="43"/>
  <c r="G10" i="43"/>
  <c r="D5" i="46"/>
  <c r="B9" i="46" s="1"/>
  <c r="A12" i="46"/>
  <c r="Q4" i="45"/>
  <c r="P345" i="44"/>
  <c r="Q345" i="44" s="1"/>
  <c r="P241" i="44"/>
  <c r="Q241" i="44" s="1"/>
  <c r="P210" i="44"/>
  <c r="Q210" i="44" s="1"/>
  <c r="D195" i="44"/>
  <c r="D311" i="44"/>
  <c r="D231" i="44"/>
  <c r="D215" i="44"/>
  <c r="D173" i="44"/>
  <c r="P131" i="44"/>
  <c r="Q131" i="44" s="1"/>
  <c r="D80" i="44"/>
  <c r="D60" i="44"/>
  <c r="D23" i="44"/>
  <c r="P18" i="44"/>
  <c r="Q18" i="44" s="1"/>
  <c r="P285" i="44"/>
  <c r="Q285" i="44" s="1"/>
  <c r="D199" i="44"/>
  <c r="D167" i="44"/>
  <c r="P155" i="44"/>
  <c r="Q155" i="44" s="1"/>
  <c r="P134" i="44"/>
  <c r="Q134" i="44" s="1"/>
  <c r="P334" i="44"/>
  <c r="Q334" i="44" s="1"/>
  <c r="P263" i="44"/>
  <c r="Q263" i="44" s="1"/>
  <c r="D239" i="44"/>
  <c r="D213" i="44"/>
  <c r="D187" i="44"/>
  <c r="P97" i="44"/>
  <c r="Q97" i="44" s="1"/>
  <c r="P342" i="44"/>
  <c r="Q342" i="44" s="1"/>
  <c r="D303" i="44"/>
  <c r="P297" i="44"/>
  <c r="Q297" i="44" s="1"/>
  <c r="P258" i="44"/>
  <c r="Q258" i="44" s="1"/>
  <c r="D102" i="44"/>
  <c r="D78" i="44"/>
  <c r="P20" i="44"/>
  <c r="Q20" i="44" s="1"/>
  <c r="U4" i="45"/>
  <c r="D247" i="44"/>
  <c r="D196" i="44"/>
  <c r="D191" i="44"/>
  <c r="D159" i="44"/>
  <c r="D123" i="44"/>
  <c r="D67" i="44"/>
  <c r="P4" i="45"/>
  <c r="D237" i="44"/>
  <c r="D137" i="44"/>
  <c r="D127" i="44"/>
  <c r="D105" i="44"/>
  <c r="P100" i="44"/>
  <c r="Q100" i="44" s="1"/>
  <c r="P66" i="44"/>
  <c r="Q66" i="44" s="1"/>
  <c r="D40" i="44"/>
  <c r="V4" i="45"/>
  <c r="A13" i="46"/>
  <c r="A33" i="46" s="1"/>
  <c r="I33" i="46" s="1"/>
  <c r="T4" i="45"/>
  <c r="S4" i="45"/>
  <c r="Z4" i="45"/>
  <c r="I12" i="46"/>
  <c r="Y4" i="45"/>
  <c r="X4" i="45"/>
  <c r="W4" i="45"/>
  <c r="D287" i="44"/>
  <c r="P255" i="44"/>
  <c r="Q255" i="44" s="1"/>
  <c r="D206" i="44"/>
  <c r="P179" i="44"/>
  <c r="Q179" i="44" s="1"/>
  <c r="P174" i="44"/>
  <c r="Q174" i="44" s="1"/>
  <c r="P170" i="44"/>
  <c r="Q170" i="44" s="1"/>
  <c r="D148" i="44"/>
  <c r="P138" i="44"/>
  <c r="Q138" i="44" s="1"/>
  <c r="D126" i="44"/>
  <c r="P112" i="44"/>
  <c r="Q112" i="44" s="1"/>
  <c r="P107" i="44"/>
  <c r="Q107" i="44" s="1"/>
  <c r="D104" i="44"/>
  <c r="P91" i="44"/>
  <c r="Q91" i="44" s="1"/>
  <c r="P76" i="44"/>
  <c r="Q76" i="44" s="1"/>
  <c r="D68" i="44"/>
  <c r="P64" i="44"/>
  <c r="Q64" i="44" s="1"/>
  <c r="P56" i="44"/>
  <c r="Q56" i="44" s="1"/>
  <c r="P43" i="44"/>
  <c r="Q43" i="44" s="1"/>
  <c r="P30" i="44"/>
  <c r="Q30" i="44" s="1"/>
  <c r="D21" i="44"/>
  <c r="Y6" i="45"/>
  <c r="P331" i="44"/>
  <c r="Q331" i="44" s="1"/>
  <c r="P313" i="44"/>
  <c r="Q313" i="44" s="1"/>
  <c r="D295" i="44"/>
  <c r="P201" i="44"/>
  <c r="Q201" i="44" s="1"/>
  <c r="D197" i="44"/>
  <c r="P193" i="44"/>
  <c r="Q193" i="44" s="1"/>
  <c r="D129" i="44"/>
  <c r="P115" i="44"/>
  <c r="Q115" i="44" s="1"/>
  <c r="D71" i="44"/>
  <c r="P16" i="44"/>
  <c r="Q16" i="44" s="1"/>
  <c r="U6" i="45"/>
  <c r="D299" i="44"/>
  <c r="D271" i="44"/>
  <c r="D233" i="44"/>
  <c r="T6" i="45"/>
  <c r="P119" i="44"/>
  <c r="Q119" i="44" s="1"/>
  <c r="R6" i="45"/>
  <c r="P330" i="44"/>
  <c r="Q330" i="44" s="1"/>
  <c r="P275" i="44"/>
  <c r="Q275" i="44" s="1"/>
  <c r="P182" i="44"/>
  <c r="Q182" i="44" s="1"/>
  <c r="P45" i="44"/>
  <c r="Q45" i="44" s="1"/>
  <c r="P37" i="44"/>
  <c r="Q37" i="44" s="1"/>
  <c r="P6" i="44"/>
  <c r="Q6" i="44" s="1"/>
  <c r="P352" i="44"/>
  <c r="Q352" i="44" s="1"/>
  <c r="P302" i="44"/>
  <c r="Q302" i="44" s="1"/>
  <c r="P270" i="44"/>
  <c r="Q270" i="44" s="1"/>
  <c r="P217" i="44"/>
  <c r="Q217" i="44" s="1"/>
  <c r="D132" i="44"/>
  <c r="D81" i="44"/>
  <c r="P256" i="44"/>
  <c r="Q256" i="44" s="1"/>
  <c r="P203" i="44"/>
  <c r="Q203" i="44" s="1"/>
  <c r="P163" i="44"/>
  <c r="Q163" i="44" s="1"/>
  <c r="P44" i="44"/>
  <c r="Q44" i="44" s="1"/>
  <c r="P301" i="44"/>
  <c r="Q301" i="44" s="1"/>
  <c r="W7" i="45"/>
  <c r="D346" i="44"/>
  <c r="D324" i="44"/>
  <c r="P305" i="44"/>
  <c r="Q305" i="44" s="1"/>
  <c r="P198" i="44"/>
  <c r="Q198" i="44" s="1"/>
  <c r="P194" i="44"/>
  <c r="Q194" i="44" s="1"/>
  <c r="D171" i="44"/>
  <c r="P26" i="44"/>
  <c r="Q26" i="44" s="1"/>
  <c r="D9" i="44"/>
  <c r="P282" i="44"/>
  <c r="Q282" i="44" s="1"/>
  <c r="P234" i="44"/>
  <c r="Q234" i="44" s="1"/>
  <c r="P230" i="44"/>
  <c r="Q230" i="44" s="1"/>
  <c r="P13" i="44"/>
  <c r="Q13" i="44" s="1"/>
  <c r="L8" i="45"/>
  <c r="C67" i="45"/>
  <c r="C68" i="45" s="1"/>
  <c r="I17" i="45"/>
  <c r="M33" i="45"/>
  <c r="K32" i="45"/>
  <c r="K33" i="45" s="1"/>
  <c r="F8" i="45"/>
  <c r="M66" i="45"/>
  <c r="M65" i="45"/>
  <c r="M64" i="45"/>
  <c r="M62" i="45"/>
  <c r="M61" i="45"/>
  <c r="M60" i="45"/>
  <c r="M59" i="45"/>
  <c r="M58" i="45"/>
  <c r="M57" i="45"/>
  <c r="M56" i="45"/>
  <c r="M55" i="45"/>
  <c r="M54" i="45"/>
  <c r="M53" i="45"/>
  <c r="M52" i="45"/>
  <c r="M51" i="45"/>
  <c r="M50" i="45"/>
  <c r="M49" i="45"/>
  <c r="M48" i="45"/>
  <c r="M47" i="45"/>
  <c r="M46" i="45"/>
  <c r="M45" i="45"/>
  <c r="M44" i="45"/>
  <c r="M43" i="45"/>
  <c r="M42" i="45"/>
  <c r="M41" i="45"/>
  <c r="M40" i="45"/>
  <c r="M67" i="45" s="1"/>
  <c r="M39" i="45"/>
  <c r="M38" i="45"/>
  <c r="H16" i="45"/>
  <c r="H15" i="45"/>
  <c r="H14" i="45"/>
  <c r="H13" i="45"/>
  <c r="H17" i="45" s="1"/>
  <c r="H18" i="45" s="1"/>
  <c r="T7" i="45"/>
  <c r="Q5" i="45"/>
  <c r="L66" i="45"/>
  <c r="L65" i="45"/>
  <c r="L64" i="45"/>
  <c r="L63" i="45"/>
  <c r="L62" i="45"/>
  <c r="L61" i="45"/>
  <c r="L60" i="45"/>
  <c r="L59" i="45"/>
  <c r="L58" i="45"/>
  <c r="L57" i="45"/>
  <c r="L56" i="45"/>
  <c r="L55" i="45"/>
  <c r="L54" i="45"/>
  <c r="L53" i="45"/>
  <c r="L52" i="45"/>
  <c r="L51" i="45"/>
  <c r="L50" i="45"/>
  <c r="L49" i="45"/>
  <c r="L48" i="45"/>
  <c r="L47" i="45"/>
  <c r="L46" i="45"/>
  <c r="L45" i="45"/>
  <c r="L44" i="45"/>
  <c r="L43" i="45"/>
  <c r="L42" i="45"/>
  <c r="L41" i="45"/>
  <c r="L40" i="45"/>
  <c r="L39" i="45"/>
  <c r="L67" i="45" s="1"/>
  <c r="L68" i="45" s="1"/>
  <c r="L38" i="45"/>
  <c r="I31" i="45"/>
  <c r="I30" i="45"/>
  <c r="I29" i="45"/>
  <c r="I28" i="45"/>
  <c r="I27" i="45"/>
  <c r="I26" i="45"/>
  <c r="I25" i="45"/>
  <c r="I24" i="45"/>
  <c r="I23" i="45"/>
  <c r="I32" i="45" s="1"/>
  <c r="J33" i="45" s="1"/>
  <c r="G16" i="45"/>
  <c r="G15" i="45"/>
  <c r="G17" i="45" s="1"/>
  <c r="G18" i="45" s="1"/>
  <c r="G14" i="45"/>
  <c r="G13" i="45"/>
  <c r="S7" i="45"/>
  <c r="Q6" i="45"/>
  <c r="P5" i="45"/>
  <c r="M63" i="45"/>
  <c r="K66" i="45"/>
  <c r="K65" i="45"/>
  <c r="K64" i="45"/>
  <c r="K63" i="45"/>
  <c r="K62" i="45"/>
  <c r="K61" i="45"/>
  <c r="K60" i="45"/>
  <c r="K59" i="45"/>
  <c r="K58" i="45"/>
  <c r="K57" i="45"/>
  <c r="K56" i="45"/>
  <c r="K55" i="45"/>
  <c r="K54" i="45"/>
  <c r="K53" i="45"/>
  <c r="K52" i="45"/>
  <c r="K51" i="45"/>
  <c r="K50" i="45"/>
  <c r="K49" i="45"/>
  <c r="K48" i="45"/>
  <c r="K47" i="45"/>
  <c r="K46" i="45"/>
  <c r="K45" i="45"/>
  <c r="K44" i="45"/>
  <c r="K43" i="45"/>
  <c r="K42" i="45"/>
  <c r="K41" i="45"/>
  <c r="K40" i="45"/>
  <c r="K39" i="45"/>
  <c r="K38" i="45"/>
  <c r="K67" i="45" s="1"/>
  <c r="H31" i="45"/>
  <c r="H30" i="45"/>
  <c r="H29" i="45"/>
  <c r="H28" i="45"/>
  <c r="H27" i="45"/>
  <c r="H26" i="45"/>
  <c r="H25" i="45"/>
  <c r="H24" i="45"/>
  <c r="H23" i="45"/>
  <c r="H32" i="45" s="1"/>
  <c r="H33" i="45" s="1"/>
  <c r="F16" i="45"/>
  <c r="F15" i="45"/>
  <c r="F14" i="45"/>
  <c r="F13" i="45"/>
  <c r="F17" i="45" s="1"/>
  <c r="F18" i="45" s="1"/>
  <c r="R7" i="45"/>
  <c r="P6" i="45"/>
  <c r="J66" i="45"/>
  <c r="J65" i="45"/>
  <c r="J64" i="45"/>
  <c r="J63" i="45"/>
  <c r="J62" i="45"/>
  <c r="J61" i="45"/>
  <c r="J60" i="45"/>
  <c r="J59" i="45"/>
  <c r="J58" i="45"/>
  <c r="J57" i="45"/>
  <c r="J56" i="45"/>
  <c r="J55" i="45"/>
  <c r="J54" i="45"/>
  <c r="J53" i="45"/>
  <c r="J52" i="45"/>
  <c r="J51" i="45"/>
  <c r="J50" i="45"/>
  <c r="J49" i="45"/>
  <c r="J48" i="45"/>
  <c r="J47" i="45"/>
  <c r="J46" i="45"/>
  <c r="J45" i="45"/>
  <c r="J44" i="45"/>
  <c r="J43" i="45"/>
  <c r="J42" i="45"/>
  <c r="J41" i="45"/>
  <c r="J40" i="45"/>
  <c r="J39" i="45"/>
  <c r="J38" i="45"/>
  <c r="G31" i="45"/>
  <c r="G30" i="45"/>
  <c r="G29" i="45"/>
  <c r="G28" i="45"/>
  <c r="G27" i="45"/>
  <c r="G26" i="45"/>
  <c r="G25" i="45"/>
  <c r="G24" i="45"/>
  <c r="G23" i="45"/>
  <c r="E16" i="45"/>
  <c r="E15" i="45"/>
  <c r="E14" i="45"/>
  <c r="E13" i="45"/>
  <c r="E17" i="45" s="1"/>
  <c r="Q7" i="45"/>
  <c r="M6" i="45"/>
  <c r="M7" i="45" s="1"/>
  <c r="M8" i="45" s="1"/>
  <c r="Z5" i="45"/>
  <c r="I66" i="45"/>
  <c r="I65" i="45"/>
  <c r="I64" i="45"/>
  <c r="I63" i="45"/>
  <c r="I62" i="45"/>
  <c r="I61" i="45"/>
  <c r="I60" i="45"/>
  <c r="I59" i="45"/>
  <c r="I58" i="45"/>
  <c r="I57" i="45"/>
  <c r="I56" i="45"/>
  <c r="I55" i="45"/>
  <c r="I54" i="45"/>
  <c r="I53" i="45"/>
  <c r="I52" i="45"/>
  <c r="I51" i="45"/>
  <c r="I50" i="45"/>
  <c r="I49" i="45"/>
  <c r="I48" i="45"/>
  <c r="I47" i="45"/>
  <c r="I46" i="45"/>
  <c r="I45" i="45"/>
  <c r="I44" i="45"/>
  <c r="I43" i="45"/>
  <c r="I42" i="45"/>
  <c r="I41" i="45"/>
  <c r="I40" i="45"/>
  <c r="I39" i="45"/>
  <c r="I38" i="45"/>
  <c r="F31" i="45"/>
  <c r="F30" i="45"/>
  <c r="F29" i="45"/>
  <c r="F28" i="45"/>
  <c r="F27" i="45"/>
  <c r="F26" i="45"/>
  <c r="F25" i="45"/>
  <c r="F24" i="45"/>
  <c r="F23" i="45"/>
  <c r="F32" i="45" s="1"/>
  <c r="E33" i="45" s="1"/>
  <c r="D16" i="45"/>
  <c r="D15" i="45"/>
  <c r="D14" i="45"/>
  <c r="D13" i="45"/>
  <c r="P7" i="45"/>
  <c r="Z6" i="45"/>
  <c r="Y5" i="45"/>
  <c r="X5" i="45"/>
  <c r="G66" i="45"/>
  <c r="G65" i="45"/>
  <c r="G64" i="45"/>
  <c r="G63" i="45"/>
  <c r="G62" i="45"/>
  <c r="G61" i="45"/>
  <c r="G60" i="45"/>
  <c r="G59" i="45"/>
  <c r="G58" i="45"/>
  <c r="G57" i="45"/>
  <c r="G56" i="45"/>
  <c r="G55" i="45"/>
  <c r="G54" i="45"/>
  <c r="G53" i="45"/>
  <c r="G52" i="45"/>
  <c r="G51" i="45"/>
  <c r="G50" i="45"/>
  <c r="G49" i="45"/>
  <c r="G48" i="45"/>
  <c r="G47" i="45"/>
  <c r="G46" i="45"/>
  <c r="G45" i="45"/>
  <c r="G44" i="45"/>
  <c r="G43" i="45"/>
  <c r="G42" i="45"/>
  <c r="G41" i="45"/>
  <c r="G40" i="45"/>
  <c r="G39" i="45"/>
  <c r="G38" i="45"/>
  <c r="G67" i="45" s="1"/>
  <c r="G68" i="45" s="1"/>
  <c r="Z7" i="45"/>
  <c r="X6" i="45"/>
  <c r="W5" i="45"/>
  <c r="F66" i="45"/>
  <c r="F65" i="45"/>
  <c r="F64" i="45"/>
  <c r="F63" i="45"/>
  <c r="F62" i="45"/>
  <c r="F61" i="45"/>
  <c r="F60" i="45"/>
  <c r="F59" i="45"/>
  <c r="F58" i="45"/>
  <c r="F57" i="45"/>
  <c r="F56" i="45"/>
  <c r="F55" i="45"/>
  <c r="F54" i="45"/>
  <c r="F53" i="45"/>
  <c r="F52" i="45"/>
  <c r="F51" i="45"/>
  <c r="F50" i="45"/>
  <c r="F49" i="45"/>
  <c r="F48" i="45"/>
  <c r="F47" i="45"/>
  <c r="F46" i="45"/>
  <c r="F45" i="45"/>
  <c r="F44" i="45"/>
  <c r="F43" i="45"/>
  <c r="F42" i="45"/>
  <c r="F41" i="45"/>
  <c r="F40" i="45"/>
  <c r="F39" i="45"/>
  <c r="F38" i="45"/>
  <c r="C31" i="45"/>
  <c r="C30" i="45"/>
  <c r="C29" i="45"/>
  <c r="C28" i="45"/>
  <c r="C27" i="45"/>
  <c r="C26" i="45"/>
  <c r="C25" i="45"/>
  <c r="C24" i="45"/>
  <c r="C23" i="45"/>
  <c r="M16" i="45"/>
  <c r="M15" i="45"/>
  <c r="M14" i="45"/>
  <c r="M13" i="45"/>
  <c r="M17" i="45" s="1"/>
  <c r="Y7" i="45"/>
  <c r="W6" i="45"/>
  <c r="V5" i="45"/>
  <c r="E66" i="45"/>
  <c r="E65" i="45"/>
  <c r="E64" i="45"/>
  <c r="E63" i="45"/>
  <c r="E62" i="45"/>
  <c r="E61" i="45"/>
  <c r="E60" i="45"/>
  <c r="E59" i="45"/>
  <c r="E58" i="45"/>
  <c r="E57" i="45"/>
  <c r="E56" i="45"/>
  <c r="E55" i="45"/>
  <c r="E54" i="45"/>
  <c r="E53" i="45"/>
  <c r="E52" i="45"/>
  <c r="E51" i="45"/>
  <c r="E50" i="45"/>
  <c r="E49" i="45"/>
  <c r="E48" i="45"/>
  <c r="E47" i="45"/>
  <c r="E46" i="45"/>
  <c r="E45" i="45"/>
  <c r="E44" i="45"/>
  <c r="E43" i="45"/>
  <c r="E42" i="45"/>
  <c r="E41" i="45"/>
  <c r="E40" i="45"/>
  <c r="E39" i="45"/>
  <c r="E38" i="45"/>
  <c r="L16" i="45"/>
  <c r="L15" i="45"/>
  <c r="L14" i="45"/>
  <c r="L13" i="45"/>
  <c r="L17" i="45" s="1"/>
  <c r="L18" i="45" s="1"/>
  <c r="X7" i="45"/>
  <c r="V6" i="45"/>
  <c r="U5" i="45"/>
  <c r="T5" i="45"/>
  <c r="J16" i="45"/>
  <c r="J15" i="45"/>
  <c r="J14" i="45"/>
  <c r="J13" i="45"/>
  <c r="J17" i="45" s="1"/>
  <c r="J8" i="45"/>
  <c r="V7" i="45"/>
  <c r="S5" i="45"/>
  <c r="P350" i="44"/>
  <c r="Q350" i="44" s="1"/>
  <c r="P343" i="44"/>
  <c r="Q343" i="44" s="1"/>
  <c r="P318" i="44"/>
  <c r="Q318" i="44" s="1"/>
  <c r="P265" i="44"/>
  <c r="Q265" i="44" s="1"/>
  <c r="P235" i="44"/>
  <c r="Q235" i="44" s="1"/>
  <c r="P211" i="44"/>
  <c r="Q211" i="44" s="1"/>
  <c r="P146" i="44"/>
  <c r="Q146" i="44" s="1"/>
  <c r="P121" i="44"/>
  <c r="Q121" i="44" s="1"/>
  <c r="P47" i="44"/>
  <c r="Q47" i="44" s="1"/>
  <c r="P31" i="44"/>
  <c r="Q31" i="44" s="1"/>
  <c r="P28" i="44"/>
  <c r="Q28" i="44" s="1"/>
  <c r="D8" i="44"/>
  <c r="P325" i="44"/>
  <c r="Q325" i="44" s="1"/>
  <c r="P306" i="44"/>
  <c r="Q306" i="44" s="1"/>
  <c r="P253" i="44"/>
  <c r="Q253" i="44" s="1"/>
  <c r="D219" i="44"/>
  <c r="P157" i="44"/>
  <c r="Q157" i="44" s="1"/>
  <c r="D149" i="44"/>
  <c r="D135" i="44"/>
  <c r="D108" i="44"/>
  <c r="D84" i="44"/>
  <c r="D11" i="44"/>
  <c r="D24" i="44"/>
  <c r="P7" i="44"/>
  <c r="Q7" i="44" s="1"/>
  <c r="D218" i="44"/>
  <c r="D183" i="44"/>
  <c r="P323" i="44"/>
  <c r="Q323" i="44" s="1"/>
  <c r="P315" i="44"/>
  <c r="Q315" i="44" s="1"/>
  <c r="D304" i="44"/>
  <c r="P289" i="44"/>
  <c r="Q289" i="44" s="1"/>
  <c r="P266" i="44"/>
  <c r="Q266" i="44" s="1"/>
  <c r="P229" i="44"/>
  <c r="Q229" i="44" s="1"/>
  <c r="P208" i="44"/>
  <c r="Q208" i="44" s="1"/>
  <c r="P189" i="44"/>
  <c r="Q189" i="44" s="1"/>
  <c r="P158" i="44"/>
  <c r="Q158" i="44" s="1"/>
  <c r="P150" i="44"/>
  <c r="Q150" i="44" s="1"/>
  <c r="P139" i="44"/>
  <c r="Q139" i="44" s="1"/>
  <c r="P136" i="44"/>
  <c r="Q136" i="44" s="1"/>
  <c r="P133" i="44"/>
  <c r="Q133" i="44" s="1"/>
  <c r="P95" i="44"/>
  <c r="Q95" i="44" s="1"/>
  <c r="P92" i="44"/>
  <c r="Q92" i="44" s="1"/>
  <c r="D72" i="44"/>
  <c r="P35" i="44"/>
  <c r="Q35" i="44" s="1"/>
  <c r="P32" i="44"/>
  <c r="Q32" i="44" s="1"/>
  <c r="P19" i="44"/>
  <c r="Q19" i="44" s="1"/>
  <c r="P347" i="44"/>
  <c r="Q347" i="44" s="1"/>
  <c r="P340" i="44"/>
  <c r="Q340" i="44" s="1"/>
  <c r="P337" i="44"/>
  <c r="Q337" i="44" s="1"/>
  <c r="P329" i="44"/>
  <c r="Q329" i="44" s="1"/>
  <c r="P326" i="44"/>
  <c r="Q326" i="44" s="1"/>
  <c r="P279" i="44"/>
  <c r="Q279" i="44" s="1"/>
  <c r="D273" i="44"/>
  <c r="P254" i="44"/>
  <c r="Q254" i="44" s="1"/>
  <c r="P243" i="44"/>
  <c r="Q243" i="44" s="1"/>
  <c r="P220" i="44"/>
  <c r="Q220" i="44" s="1"/>
  <c r="P162" i="44"/>
  <c r="Q162" i="44" s="1"/>
  <c r="D147" i="44"/>
  <c r="P109" i="44"/>
  <c r="Q109" i="44" s="1"/>
  <c r="P85" i="44"/>
  <c r="Q85" i="44" s="1"/>
  <c r="P55" i="44"/>
  <c r="Q55" i="44" s="1"/>
  <c r="P52" i="44"/>
  <c r="Q52" i="44" s="1"/>
  <c r="P42" i="44"/>
  <c r="Q42" i="44" s="1"/>
  <c r="D12" i="44"/>
  <c r="D292" i="44"/>
  <c r="D269" i="44"/>
  <c r="P246" i="44"/>
  <c r="Q246" i="44" s="1"/>
  <c r="D240" i="44"/>
  <c r="P232" i="44"/>
  <c r="Q232" i="44" s="1"/>
  <c r="D216" i="44"/>
  <c r="P181" i="44"/>
  <c r="Q181" i="44" s="1"/>
  <c r="P169" i="44"/>
  <c r="Q169" i="44" s="1"/>
  <c r="D122" i="44"/>
  <c r="D48" i="44"/>
  <c r="P38" i="44"/>
  <c r="Q38" i="44" s="1"/>
  <c r="P25" i="44"/>
  <c r="Q25" i="44" s="1"/>
  <c r="D300" i="44"/>
  <c r="D276" i="44"/>
  <c r="P223" i="44"/>
  <c r="Q223" i="44" s="1"/>
  <c r="D192" i="44"/>
  <c r="D185" i="44"/>
  <c r="D172" i="44"/>
  <c r="D125" i="44"/>
  <c r="P61" i="44"/>
  <c r="Q61" i="44" s="1"/>
  <c r="P351" i="44"/>
  <c r="Q351" i="44" s="1"/>
  <c r="D349" i="44"/>
  <c r="D344" i="44"/>
  <c r="D336" i="44"/>
  <c r="P333" i="44"/>
  <c r="Q333" i="44" s="1"/>
  <c r="D310" i="44"/>
  <c r="P310" i="44"/>
  <c r="Q310" i="44" s="1"/>
  <c r="D286" i="44"/>
  <c r="P286" i="44"/>
  <c r="Q286" i="44" s="1"/>
  <c r="P261" i="44"/>
  <c r="Q261" i="44" s="1"/>
  <c r="D178" i="44"/>
  <c r="P178" i="44"/>
  <c r="Q178" i="44" s="1"/>
  <c r="P153" i="44"/>
  <c r="Q153" i="44" s="1"/>
  <c r="P110" i="44"/>
  <c r="Q110" i="44" s="1"/>
  <c r="P98" i="44"/>
  <c r="Q98" i="44" s="1"/>
  <c r="P86" i="44"/>
  <c r="Q86" i="44" s="1"/>
  <c r="P74" i="44"/>
  <c r="Q74" i="44" s="1"/>
  <c r="P62" i="44"/>
  <c r="Q62" i="44" s="1"/>
  <c r="P50" i="44"/>
  <c r="Q50" i="44" s="1"/>
  <c r="D341" i="44"/>
  <c r="D298" i="44"/>
  <c r="P298" i="44"/>
  <c r="Q298" i="44" s="1"/>
  <c r="D252" i="44"/>
  <c r="D249" i="44"/>
  <c r="D221" i="44"/>
  <c r="D190" i="44"/>
  <c r="P190" i="44"/>
  <c r="Q190" i="44" s="1"/>
  <c r="D184" i="44"/>
  <c r="D144" i="44"/>
  <c r="D141" i="44"/>
  <c r="D264" i="44"/>
  <c r="P177" i="44"/>
  <c r="Q177" i="44" s="1"/>
  <c r="D156" i="44"/>
  <c r="D113" i="44"/>
  <c r="D101" i="44"/>
  <c r="D89" i="44"/>
  <c r="D77" i="44"/>
  <c r="D65" i="44"/>
  <c r="D53" i="44"/>
  <c r="D41" i="44"/>
  <c r="D29" i="44"/>
  <c r="D17" i="44"/>
  <c r="D202" i="44"/>
  <c r="P202" i="44"/>
  <c r="Q202" i="44" s="1"/>
  <c r="D312" i="44"/>
  <c r="D288" i="44"/>
  <c r="D257" i="44"/>
  <c r="D180" i="44"/>
  <c r="D10" i="44"/>
  <c r="P10" i="44"/>
  <c r="Q10" i="44" s="1"/>
  <c r="D214" i="44"/>
  <c r="P214" i="44"/>
  <c r="Q214" i="44" s="1"/>
  <c r="D106" i="44"/>
  <c r="P106" i="44"/>
  <c r="Q106" i="44" s="1"/>
  <c r="D94" i="44"/>
  <c r="P94" i="44"/>
  <c r="Q94" i="44" s="1"/>
  <c r="D82" i="44"/>
  <c r="P82" i="44"/>
  <c r="Q82" i="44" s="1"/>
  <c r="D70" i="44"/>
  <c r="P70" i="44"/>
  <c r="Q70" i="44" s="1"/>
  <c r="D58" i="44"/>
  <c r="P58" i="44"/>
  <c r="Q58" i="44" s="1"/>
  <c r="D46" i="44"/>
  <c r="P46" i="44"/>
  <c r="Q46" i="44" s="1"/>
  <c r="D34" i="44"/>
  <c r="P34" i="44"/>
  <c r="Q34" i="44" s="1"/>
  <c r="D22" i="44"/>
  <c r="P22" i="44"/>
  <c r="Q22" i="44" s="1"/>
  <c r="D332" i="44"/>
  <c r="P332" i="44"/>
  <c r="Q332" i="44" s="1"/>
  <c r="D281" i="44"/>
  <c r="D161" i="44"/>
  <c r="D320" i="44"/>
  <c r="P320" i="44"/>
  <c r="Q320" i="44" s="1"/>
  <c r="D293" i="44"/>
  <c r="D226" i="44"/>
  <c r="P226" i="44"/>
  <c r="Q226" i="44" s="1"/>
  <c r="D204" i="44"/>
  <c r="D118" i="44"/>
  <c r="P118" i="44"/>
  <c r="Q118" i="44" s="1"/>
  <c r="D308" i="44"/>
  <c r="P308" i="44"/>
  <c r="Q308" i="44" s="1"/>
  <c r="D238" i="44"/>
  <c r="P238" i="44"/>
  <c r="Q238" i="44" s="1"/>
  <c r="D130" i="44"/>
  <c r="P130" i="44"/>
  <c r="Q130" i="44" s="1"/>
  <c r="P316" i="44"/>
  <c r="Q316" i="44" s="1"/>
  <c r="P307" i="44"/>
  <c r="Q307" i="44" s="1"/>
  <c r="P283" i="44"/>
  <c r="Q283" i="44" s="1"/>
  <c r="P280" i="44"/>
  <c r="Q280" i="44" s="1"/>
  <c r="D250" i="44"/>
  <c r="P250" i="44"/>
  <c r="Q250" i="44" s="1"/>
  <c r="P225" i="44"/>
  <c r="Q225" i="44" s="1"/>
  <c r="P175" i="44"/>
  <c r="Q175" i="44" s="1"/>
  <c r="P160" i="44"/>
  <c r="Q160" i="44" s="1"/>
  <c r="D142" i="44"/>
  <c r="P142" i="44"/>
  <c r="Q142" i="44" s="1"/>
  <c r="P117" i="44"/>
  <c r="Q117" i="44" s="1"/>
  <c r="D262" i="44"/>
  <c r="P262" i="44"/>
  <c r="Q262" i="44" s="1"/>
  <c r="D154" i="44"/>
  <c r="P154" i="44"/>
  <c r="Q154" i="44" s="1"/>
  <c r="D322" i="44"/>
  <c r="P322" i="44"/>
  <c r="Q322" i="44" s="1"/>
  <c r="D274" i="44"/>
  <c r="P274" i="44"/>
  <c r="Q274" i="44" s="1"/>
  <c r="D228" i="44"/>
  <c r="D209" i="44"/>
  <c r="D166" i="44"/>
  <c r="P166" i="44"/>
  <c r="Q166" i="44" s="1"/>
  <c r="D120" i="44"/>
  <c r="P296" i="44"/>
  <c r="Q296" i="44" s="1"/>
  <c r="P284" i="44"/>
  <c r="Q284" i="44" s="1"/>
  <c r="P272" i="44"/>
  <c r="Q272" i="44" s="1"/>
  <c r="P260" i="44"/>
  <c r="Q260" i="44" s="1"/>
  <c r="P248" i="44"/>
  <c r="Q248" i="44" s="1"/>
  <c r="P236" i="44"/>
  <c r="Q236" i="44" s="1"/>
  <c r="P224" i="44"/>
  <c r="Q224" i="44" s="1"/>
  <c r="P212" i="44"/>
  <c r="Q212" i="44" s="1"/>
  <c r="P200" i="44"/>
  <c r="Q200" i="44" s="1"/>
  <c r="P188" i="44"/>
  <c r="Q188" i="44" s="1"/>
  <c r="P176" i="44"/>
  <c r="Q176" i="44" s="1"/>
  <c r="P164" i="44"/>
  <c r="Q164" i="44" s="1"/>
  <c r="P152" i="44"/>
  <c r="Q152" i="44" s="1"/>
  <c r="P140" i="44"/>
  <c r="Q140" i="44" s="1"/>
  <c r="P128" i="44"/>
  <c r="Q128" i="44" s="1"/>
  <c r="P116" i="44"/>
  <c r="Q116" i="44" s="1"/>
  <c r="P111" i="44"/>
  <c r="Q111" i="44" s="1"/>
  <c r="P99" i="44"/>
  <c r="Q99" i="44" s="1"/>
  <c r="P87" i="44"/>
  <c r="Q87" i="44" s="1"/>
  <c r="P75" i="44"/>
  <c r="Q75" i="44" s="1"/>
  <c r="P63" i="44"/>
  <c r="Q63" i="44" s="1"/>
  <c r="P51" i="44"/>
  <c r="Q51" i="44" s="1"/>
  <c r="P39" i="44"/>
  <c r="Q39" i="44" s="1"/>
  <c r="P27" i="44"/>
  <c r="Q27" i="44" s="1"/>
  <c r="P15" i="44"/>
  <c r="Q15" i="44" s="1"/>
  <c r="B6" i="39"/>
  <c r="B15" i="39" s="1"/>
  <c r="E6" i="42"/>
  <c r="E8" i="42" s="1"/>
  <c r="B8" i="42"/>
  <c r="P11" i="39" l="1"/>
  <c r="A47" i="46"/>
  <c r="A67" i="46"/>
  <c r="I46" i="46"/>
  <c r="K46" i="46" s="1"/>
  <c r="L46" i="46" s="1"/>
  <c r="C46" i="46"/>
  <c r="D46" i="46" s="1"/>
  <c r="A66" i="46"/>
  <c r="I45" i="46"/>
  <c r="J42" i="46" s="1"/>
  <c r="L41" i="46" s="1"/>
  <c r="J45" i="46" s="1"/>
  <c r="B42" i="46"/>
  <c r="D41" i="46" s="1"/>
  <c r="B45" i="46" s="1"/>
  <c r="C12" i="46"/>
  <c r="D12" i="46" s="1"/>
  <c r="A32" i="46"/>
  <c r="C31" i="46"/>
  <c r="D31" i="46" s="1"/>
  <c r="S8" i="39"/>
  <c r="S11" i="39" s="1"/>
  <c r="S16" i="39" s="1"/>
  <c r="R17" i="39" s="1"/>
  <c r="P10" i="39"/>
  <c r="P12" i="39" s="1"/>
  <c r="P15" i="39" s="1"/>
  <c r="B18" i="48"/>
  <c r="B9" i="48"/>
  <c r="G16" i="48"/>
  <c r="E16" i="48" s="1"/>
  <c r="F16" i="48" s="1"/>
  <c r="E22" i="48" s="1"/>
  <c r="L7" i="43"/>
  <c r="K8" i="43"/>
  <c r="J8" i="43"/>
  <c r="K6" i="43"/>
  <c r="K11" i="43" s="1"/>
  <c r="K12" i="43" s="1"/>
  <c r="J6" i="43"/>
  <c r="J11" i="43"/>
  <c r="M10" i="43"/>
  <c r="L10" i="43"/>
  <c r="M8" i="43"/>
  <c r="L8" i="43"/>
  <c r="M6" i="43"/>
  <c r="M11" i="43" s="1"/>
  <c r="M12" i="43" s="1"/>
  <c r="L6" i="43"/>
  <c r="K10" i="43"/>
  <c r="J10" i="43"/>
  <c r="C13" i="46"/>
  <c r="D13" i="46" s="1"/>
  <c r="E14" i="46"/>
  <c r="D6" i="46"/>
  <c r="K12" i="46"/>
  <c r="L12" i="46" s="1"/>
  <c r="I13" i="46"/>
  <c r="C33" i="46"/>
  <c r="D33" i="46" s="1"/>
  <c r="E34" i="46"/>
  <c r="M68" i="45"/>
  <c r="J18" i="45"/>
  <c r="K18" i="45"/>
  <c r="F67" i="45"/>
  <c r="F68" i="45" s="1"/>
  <c r="C32" i="45"/>
  <c r="C33" i="45" s="1"/>
  <c r="J67" i="45"/>
  <c r="E18" i="45"/>
  <c r="D17" i="45"/>
  <c r="F33" i="45"/>
  <c r="E67" i="45"/>
  <c r="I67" i="45"/>
  <c r="I68" i="45" s="1"/>
  <c r="G32" i="45"/>
  <c r="G33" i="45" s="1"/>
  <c r="L33" i="45"/>
  <c r="M18" i="45"/>
  <c r="I18" i="45"/>
  <c r="B12" i="39"/>
  <c r="B17" i="39" s="1"/>
  <c r="B7" i="39" s="1"/>
  <c r="E4" i="39" s="1"/>
  <c r="B16" i="39"/>
  <c r="E11" i="42"/>
  <c r="B15" i="42"/>
  <c r="E15" i="42" s="1"/>
  <c r="E20" i="42" s="1"/>
  <c r="B16" i="42"/>
  <c r="B12" i="42"/>
  <c r="B13" i="39" l="1"/>
  <c r="D5" i="39"/>
  <c r="D6" i="39" s="1"/>
  <c r="S14" i="39"/>
  <c r="R15" i="39" s="1"/>
  <c r="A83" i="46"/>
  <c r="I66" i="46"/>
  <c r="B63" i="46"/>
  <c r="D62" i="46" s="1"/>
  <c r="B66" i="46" s="1"/>
  <c r="I32" i="46"/>
  <c r="C32" i="46"/>
  <c r="D32" i="46" s="1"/>
  <c r="D26" i="46"/>
  <c r="E33" i="46" s="1"/>
  <c r="F33" i="46" s="1"/>
  <c r="G33" i="46" s="1"/>
  <c r="C67" i="46"/>
  <c r="D67" i="46" s="1"/>
  <c r="I67" i="46"/>
  <c r="A68" i="46"/>
  <c r="A84" i="46"/>
  <c r="C47" i="46"/>
  <c r="D47" i="46" s="1"/>
  <c r="A48" i="46"/>
  <c r="I47" i="46"/>
  <c r="P16" i="39"/>
  <c r="P18" i="39" s="1"/>
  <c r="F15" i="48"/>
  <c r="F6" i="48"/>
  <c r="L11" i="43"/>
  <c r="I14" i="46"/>
  <c r="K13" i="46"/>
  <c r="L13" i="46" s="1"/>
  <c r="E12" i="46"/>
  <c r="F12" i="46" s="1"/>
  <c r="G12" i="46" s="1"/>
  <c r="E13" i="46"/>
  <c r="F13" i="46" s="1"/>
  <c r="G13" i="46" s="1"/>
  <c r="E10" i="46"/>
  <c r="F10" i="46" s="1"/>
  <c r="G10" i="46" s="1"/>
  <c r="E11" i="46"/>
  <c r="F11" i="46" s="1"/>
  <c r="G11" i="46" s="1"/>
  <c r="M34" i="46"/>
  <c r="K33" i="46"/>
  <c r="L33" i="46" s="1"/>
  <c r="D18" i="45"/>
  <c r="C18" i="45"/>
  <c r="J68" i="45"/>
  <c r="K68" i="45"/>
  <c r="E68" i="45"/>
  <c r="D68" i="45"/>
  <c r="B14" i="39"/>
  <c r="E5" i="39"/>
  <c r="G5" i="39" s="1"/>
  <c r="P13" i="39"/>
  <c r="B20" i="42"/>
  <c r="E16" i="42"/>
  <c r="B19" i="42"/>
  <c r="B17" i="42"/>
  <c r="B25" i="42"/>
  <c r="B8" i="39"/>
  <c r="G4" i="39"/>
  <c r="K67" i="46" l="1"/>
  <c r="L67" i="46" s="1"/>
  <c r="I68" i="46"/>
  <c r="K32" i="46"/>
  <c r="L32" i="46" s="1"/>
  <c r="L26" i="46"/>
  <c r="E31" i="46"/>
  <c r="F31" i="46" s="1"/>
  <c r="G31" i="46" s="1"/>
  <c r="E30" i="46"/>
  <c r="F30" i="46" s="1"/>
  <c r="G30" i="46" s="1"/>
  <c r="G34" i="46" s="1"/>
  <c r="E32" i="46"/>
  <c r="F32" i="46" s="1"/>
  <c r="G32" i="46" s="1"/>
  <c r="J63" i="46"/>
  <c r="L62" i="46" s="1"/>
  <c r="J66" i="46" s="1"/>
  <c r="C68" i="46"/>
  <c r="D68" i="46" s="1"/>
  <c r="A69" i="46"/>
  <c r="A49" i="46"/>
  <c r="I48" i="46"/>
  <c r="K48" i="46" s="1"/>
  <c r="L48" i="46" s="1"/>
  <c r="C48" i="46"/>
  <c r="D48" i="46" s="1"/>
  <c r="I83" i="46"/>
  <c r="B80" i="46"/>
  <c r="D79" i="46" s="1"/>
  <c r="B83" i="46" s="1"/>
  <c r="C84" i="46"/>
  <c r="D84" i="46" s="1"/>
  <c r="A85" i="46"/>
  <c r="I84" i="46"/>
  <c r="E21" i="48"/>
  <c r="E23" i="48" s="1"/>
  <c r="G14" i="46"/>
  <c r="K14" i="46"/>
  <c r="L14" i="46" s="1"/>
  <c r="I15" i="46"/>
  <c r="H5" i="39"/>
  <c r="I5" i="39" s="1"/>
  <c r="F5" i="39"/>
  <c r="E17" i="42"/>
  <c r="E27" i="42" s="1"/>
  <c r="E26" i="42"/>
  <c r="E18" i="42"/>
  <c r="E21" i="42"/>
  <c r="E22" i="42" s="1"/>
  <c r="E23" i="42" s="1"/>
  <c r="E24" i="42" s="1"/>
  <c r="E25" i="42" s="1"/>
  <c r="B21" i="42"/>
  <c r="B22" i="42" s="1"/>
  <c r="K84" i="46" l="1"/>
  <c r="L84" i="46" s="1"/>
  <c r="I85" i="46"/>
  <c r="M31" i="46"/>
  <c r="N31" i="46" s="1"/>
  <c r="O31" i="46" s="1"/>
  <c r="M32" i="46"/>
  <c r="N32" i="46" s="1"/>
  <c r="O32" i="46" s="1"/>
  <c r="M30" i="46"/>
  <c r="N30" i="46" s="1"/>
  <c r="O30" i="46" s="1"/>
  <c r="O34" i="46" s="1"/>
  <c r="A70" i="46"/>
  <c r="C69" i="46"/>
  <c r="D69" i="46" s="1"/>
  <c r="C85" i="46"/>
  <c r="D85" i="46" s="1"/>
  <c r="A86" i="46"/>
  <c r="I69" i="46"/>
  <c r="K68" i="46"/>
  <c r="L68" i="46" s="1"/>
  <c r="I49" i="46"/>
  <c r="C49" i="46"/>
  <c r="D49" i="46" s="1"/>
  <c r="A50" i="46"/>
  <c r="M33" i="46"/>
  <c r="N33" i="46" s="1"/>
  <c r="O33" i="46" s="1"/>
  <c r="J80" i="46"/>
  <c r="L79" i="46" s="1"/>
  <c r="J83" i="46" s="1"/>
  <c r="K15" i="46"/>
  <c r="L15" i="46" s="1"/>
  <c r="I16" i="46"/>
  <c r="E6" i="39"/>
  <c r="F6" i="39"/>
  <c r="H6" i="39"/>
  <c r="I6" i="39" s="1"/>
  <c r="D7" i="39"/>
  <c r="B23" i="42"/>
  <c r="B24" i="42" s="1"/>
  <c r="B26" i="42"/>
  <c r="E28" i="42"/>
  <c r="E29" i="42" s="1"/>
  <c r="E30" i="42" s="1"/>
  <c r="E32" i="42" s="1"/>
  <c r="A87" i="46" l="1"/>
  <c r="C86" i="46"/>
  <c r="D86" i="46" s="1"/>
  <c r="K69" i="46"/>
  <c r="L69" i="46" s="1"/>
  <c r="I70" i="46"/>
  <c r="C70" i="46"/>
  <c r="D70" i="46" s="1"/>
  <c r="A71" i="46"/>
  <c r="K85" i="46"/>
  <c r="L85" i="46" s="1"/>
  <c r="I86" i="46"/>
  <c r="I50" i="46"/>
  <c r="C50" i="46"/>
  <c r="D50" i="46" s="1"/>
  <c r="A51" i="46"/>
  <c r="I17" i="46"/>
  <c r="K16" i="46"/>
  <c r="L16" i="46" s="1"/>
  <c r="E7" i="39"/>
  <c r="H7" i="39"/>
  <c r="I7" i="39" s="1"/>
  <c r="D8" i="39"/>
  <c r="F7" i="39"/>
  <c r="G6" i="39"/>
  <c r="B32" i="42"/>
  <c r="K86" i="46" l="1"/>
  <c r="L86" i="46" s="1"/>
  <c r="I87" i="46"/>
  <c r="A72" i="46"/>
  <c r="C71" i="46"/>
  <c r="D71" i="46" s="1"/>
  <c r="D63" i="46"/>
  <c r="K70" i="46"/>
  <c r="L70" i="46" s="1"/>
  <c r="I71" i="46"/>
  <c r="I51" i="46"/>
  <c r="C51" i="46"/>
  <c r="D51" i="46" s="1"/>
  <c r="A52" i="46"/>
  <c r="K50" i="46"/>
  <c r="L50" i="46" s="1"/>
  <c r="C87" i="46"/>
  <c r="D87" i="46" s="1"/>
  <c r="A88" i="46"/>
  <c r="K17" i="46"/>
  <c r="L17" i="46" s="1"/>
  <c r="L18" i="46" s="1"/>
  <c r="I18" i="46"/>
  <c r="E8" i="39"/>
  <c r="H8" i="39"/>
  <c r="I8" i="39" s="1"/>
  <c r="D9" i="39"/>
  <c r="F8" i="39"/>
  <c r="G7" i="39"/>
  <c r="I52" i="46" l="1"/>
  <c r="C52" i="46"/>
  <c r="D52" i="46" s="1"/>
  <c r="A53" i="46"/>
  <c r="E73" i="46"/>
  <c r="C72" i="46"/>
  <c r="D72" i="46" s="1"/>
  <c r="E71" i="46"/>
  <c r="F71" i="46" s="1"/>
  <c r="G71" i="46" s="1"/>
  <c r="E72" i="46"/>
  <c r="F72" i="46" s="1"/>
  <c r="G72" i="46" s="1"/>
  <c r="E69" i="46"/>
  <c r="F69" i="46" s="1"/>
  <c r="G69" i="46" s="1"/>
  <c r="E67" i="46"/>
  <c r="F67" i="46" s="1"/>
  <c r="G67" i="46" s="1"/>
  <c r="G73" i="46" s="1"/>
  <c r="E70" i="46"/>
  <c r="F70" i="46" s="1"/>
  <c r="G70" i="46" s="1"/>
  <c r="E68" i="46"/>
  <c r="F68" i="46" s="1"/>
  <c r="G68" i="46" s="1"/>
  <c r="C88" i="46"/>
  <c r="D88" i="46" s="1"/>
  <c r="A89" i="46"/>
  <c r="I88" i="46"/>
  <c r="K87" i="46"/>
  <c r="L87" i="46" s="1"/>
  <c r="K71" i="46"/>
  <c r="L71" i="46" s="1"/>
  <c r="I72" i="46"/>
  <c r="L63" i="46"/>
  <c r="K18" i="46"/>
  <c r="M19" i="46"/>
  <c r="L6" i="46"/>
  <c r="G8" i="39"/>
  <c r="E9" i="39"/>
  <c r="F9" i="39"/>
  <c r="D10" i="39"/>
  <c r="H9" i="39"/>
  <c r="I9" i="39" s="1"/>
  <c r="M73" i="46" l="1"/>
  <c r="K72" i="46"/>
  <c r="L72" i="46" s="1"/>
  <c r="M69" i="46"/>
  <c r="N69" i="46" s="1"/>
  <c r="O69" i="46" s="1"/>
  <c r="M67" i="46"/>
  <c r="N67" i="46" s="1"/>
  <c r="O67" i="46" s="1"/>
  <c r="M68" i="46"/>
  <c r="N68" i="46" s="1"/>
  <c r="O68" i="46" s="1"/>
  <c r="M70" i="46"/>
  <c r="N70" i="46" s="1"/>
  <c r="O70" i="46" s="1"/>
  <c r="M72" i="46"/>
  <c r="N72" i="46" s="1"/>
  <c r="O72" i="46" s="1"/>
  <c r="M71" i="46"/>
  <c r="N71" i="46" s="1"/>
  <c r="O71" i="46" s="1"/>
  <c r="I53" i="46"/>
  <c r="A54" i="46"/>
  <c r="C53" i="46"/>
  <c r="D53" i="46" s="1"/>
  <c r="K88" i="46"/>
  <c r="L88" i="46" s="1"/>
  <c r="I89" i="46"/>
  <c r="C89" i="46"/>
  <c r="D89" i="46" s="1"/>
  <c r="A90" i="46"/>
  <c r="K52" i="46"/>
  <c r="L52" i="46" s="1"/>
  <c r="M10" i="46"/>
  <c r="N10" i="46" s="1"/>
  <c r="O10" i="46" s="1"/>
  <c r="M18" i="46"/>
  <c r="N18" i="46" s="1"/>
  <c r="O18" i="46" s="1"/>
  <c r="M15" i="46"/>
  <c r="N15" i="46" s="1"/>
  <c r="O15" i="46" s="1"/>
  <c r="M11" i="46"/>
  <c r="N11" i="46" s="1"/>
  <c r="O11" i="46" s="1"/>
  <c r="M52" i="46"/>
  <c r="N52" i="46" s="1"/>
  <c r="O52" i="46" s="1"/>
  <c r="M12" i="46"/>
  <c r="N12" i="46" s="1"/>
  <c r="O12" i="46" s="1"/>
  <c r="M14" i="46"/>
  <c r="N14" i="46" s="1"/>
  <c r="O14" i="46" s="1"/>
  <c r="M17" i="46"/>
  <c r="N17" i="46" s="1"/>
  <c r="O17" i="46" s="1"/>
  <c r="M48" i="46"/>
  <c r="N48" i="46" s="1"/>
  <c r="O48" i="46" s="1"/>
  <c r="M50" i="46"/>
  <c r="N50" i="46" s="1"/>
  <c r="O50" i="46" s="1"/>
  <c r="M13" i="46"/>
  <c r="N13" i="46" s="1"/>
  <c r="O13" i="46" s="1"/>
  <c r="M16" i="46"/>
  <c r="N16" i="46" s="1"/>
  <c r="O16" i="46" s="1"/>
  <c r="F10" i="39"/>
  <c r="H10" i="39"/>
  <c r="I10" i="39" s="1"/>
  <c r="D11" i="39"/>
  <c r="E10" i="39"/>
  <c r="G9" i="39"/>
  <c r="I54" i="46" l="1"/>
  <c r="K54" i="46" s="1"/>
  <c r="L54" i="46" s="1"/>
  <c r="M54" i="46" s="1"/>
  <c r="N54" i="46" s="1"/>
  <c r="O54" i="46" s="1"/>
  <c r="C54" i="46"/>
  <c r="D54" i="46" s="1"/>
  <c r="A55" i="46"/>
  <c r="D42" i="46"/>
  <c r="O73" i="46"/>
  <c r="A91" i="46"/>
  <c r="C90" i="46"/>
  <c r="D90" i="46" s="1"/>
  <c r="I90" i="46"/>
  <c r="K89" i="46"/>
  <c r="L89" i="46" s="1"/>
  <c r="O19" i="46"/>
  <c r="G10" i="39"/>
  <c r="H11" i="39"/>
  <c r="I11" i="39" s="1"/>
  <c r="D12" i="39"/>
  <c r="F11" i="39"/>
  <c r="E11" i="39"/>
  <c r="I91" i="46" l="1"/>
  <c r="K90" i="46"/>
  <c r="L90" i="46" s="1"/>
  <c r="C91" i="46"/>
  <c r="D91" i="46" s="1"/>
  <c r="A92" i="46"/>
  <c r="I55" i="46"/>
  <c r="E56" i="46"/>
  <c r="C55" i="46"/>
  <c r="D55" i="46" s="1"/>
  <c r="E55" i="46" s="1"/>
  <c r="F55" i="46" s="1"/>
  <c r="G55" i="46" s="1"/>
  <c r="E46" i="46"/>
  <c r="F46" i="46" s="1"/>
  <c r="G46" i="46" s="1"/>
  <c r="E54" i="46"/>
  <c r="F54" i="46" s="1"/>
  <c r="G54" i="46" s="1"/>
  <c r="E52" i="46"/>
  <c r="F52" i="46" s="1"/>
  <c r="G52" i="46" s="1"/>
  <c r="E50" i="46"/>
  <c r="F50" i="46" s="1"/>
  <c r="G50" i="46" s="1"/>
  <c r="E51" i="46"/>
  <c r="F51" i="46" s="1"/>
  <c r="G51" i="46" s="1"/>
  <c r="E47" i="46"/>
  <c r="F47" i="46" s="1"/>
  <c r="G47" i="46" s="1"/>
  <c r="E49" i="46"/>
  <c r="F49" i="46" s="1"/>
  <c r="G49" i="46" s="1"/>
  <c r="E48" i="46"/>
  <c r="F48" i="46" s="1"/>
  <c r="G48" i="46" s="1"/>
  <c r="E53" i="46"/>
  <c r="F53" i="46" s="1"/>
  <c r="G53" i="46" s="1"/>
  <c r="G11" i="39"/>
  <c r="F12" i="39"/>
  <c r="D13" i="39"/>
  <c r="E12" i="39"/>
  <c r="H12" i="39"/>
  <c r="I12" i="39" s="1"/>
  <c r="C92" i="46" l="1"/>
  <c r="D92" i="46" s="1"/>
  <c r="A93" i="46"/>
  <c r="G56" i="46"/>
  <c r="K55" i="46"/>
  <c r="L55" i="46" s="1"/>
  <c r="M55" i="46" s="1"/>
  <c r="N55" i="46" s="1"/>
  <c r="O55" i="46" s="1"/>
  <c r="M56" i="46"/>
  <c r="L42" i="46"/>
  <c r="M46" i="46" s="1"/>
  <c r="N46" i="46" s="1"/>
  <c r="O46" i="46" s="1"/>
  <c r="O56" i="46" s="1"/>
  <c r="K91" i="46"/>
  <c r="L91" i="46" s="1"/>
  <c r="I92" i="46"/>
  <c r="G12" i="39"/>
  <c r="E13" i="39"/>
  <c r="H13" i="39"/>
  <c r="I13" i="39" s="1"/>
  <c r="F13" i="39"/>
  <c r="D14" i="39"/>
  <c r="K92" i="46" l="1"/>
  <c r="L92" i="46" s="1"/>
  <c r="I93" i="46"/>
  <c r="A94" i="46"/>
  <c r="C93" i="46"/>
  <c r="D93" i="46" s="1"/>
  <c r="D15" i="39"/>
  <c r="F14" i="39"/>
  <c r="E14" i="39"/>
  <c r="H14" i="39"/>
  <c r="I14" i="39" s="1"/>
  <c r="G13" i="39"/>
  <c r="A95" i="46" l="1"/>
  <c r="C94" i="46"/>
  <c r="D94" i="46" s="1"/>
  <c r="K93" i="46"/>
  <c r="L93" i="46" s="1"/>
  <c r="I94" i="46"/>
  <c r="G14" i="39"/>
  <c r="E15" i="39"/>
  <c r="D16" i="39"/>
  <c r="H15" i="39"/>
  <c r="I15" i="39" s="1"/>
  <c r="F15" i="39"/>
  <c r="K94" i="46" l="1"/>
  <c r="L94" i="46" s="1"/>
  <c r="I95" i="46"/>
  <c r="C95" i="46"/>
  <c r="D95" i="46" s="1"/>
  <c r="A96" i="46"/>
  <c r="G15" i="39"/>
  <c r="H16" i="39"/>
  <c r="I16" i="39" s="1"/>
  <c r="D17" i="39"/>
  <c r="F16" i="39"/>
  <c r="E16" i="39"/>
  <c r="A97" i="46" l="1"/>
  <c r="C96" i="46"/>
  <c r="D96" i="46" s="1"/>
  <c r="I96" i="46"/>
  <c r="K95" i="46"/>
  <c r="L95" i="46" s="1"/>
  <c r="G16" i="39"/>
  <c r="H17" i="39"/>
  <c r="I17" i="39" s="1"/>
  <c r="E17" i="39"/>
  <c r="F17" i="39"/>
  <c r="D18" i="39"/>
  <c r="I97" i="46" l="1"/>
  <c r="K96" i="46"/>
  <c r="L96" i="46" s="1"/>
  <c r="E98" i="46"/>
  <c r="C97" i="46"/>
  <c r="D97" i="46" s="1"/>
  <c r="D80" i="46"/>
  <c r="G17" i="39"/>
  <c r="E18" i="39"/>
  <c r="D19" i="39"/>
  <c r="H18" i="39"/>
  <c r="I18" i="39" s="1"/>
  <c r="F18" i="39"/>
  <c r="E90" i="46" l="1"/>
  <c r="F90" i="46" s="1"/>
  <c r="G90" i="46" s="1"/>
  <c r="E84" i="46"/>
  <c r="F84" i="46" s="1"/>
  <c r="G84" i="46" s="1"/>
  <c r="E86" i="46"/>
  <c r="F86" i="46" s="1"/>
  <c r="G86" i="46" s="1"/>
  <c r="E92" i="46"/>
  <c r="F92" i="46" s="1"/>
  <c r="G92" i="46" s="1"/>
  <c r="E88" i="46"/>
  <c r="F88" i="46" s="1"/>
  <c r="G88" i="46" s="1"/>
  <c r="E93" i="46"/>
  <c r="F93" i="46" s="1"/>
  <c r="G93" i="46" s="1"/>
  <c r="E96" i="46"/>
  <c r="F96" i="46" s="1"/>
  <c r="G96" i="46" s="1"/>
  <c r="E97" i="46"/>
  <c r="F97" i="46" s="1"/>
  <c r="G97" i="46" s="1"/>
  <c r="E94" i="46"/>
  <c r="F94" i="46" s="1"/>
  <c r="G94" i="46" s="1"/>
  <c r="E95" i="46"/>
  <c r="F95" i="46" s="1"/>
  <c r="G95" i="46" s="1"/>
  <c r="E85" i="46"/>
  <c r="F85" i="46" s="1"/>
  <c r="G85" i="46" s="1"/>
  <c r="E91" i="46"/>
  <c r="F91" i="46" s="1"/>
  <c r="G91" i="46" s="1"/>
  <c r="E87" i="46"/>
  <c r="F87" i="46" s="1"/>
  <c r="G87" i="46" s="1"/>
  <c r="E89" i="46"/>
  <c r="F89" i="46" s="1"/>
  <c r="G89" i="46" s="1"/>
  <c r="K97" i="46"/>
  <c r="L97" i="46" s="1"/>
  <c r="M98" i="46"/>
  <c r="L80" i="46"/>
  <c r="G18" i="39"/>
  <c r="F19" i="39"/>
  <c r="D20" i="39"/>
  <c r="E19" i="39"/>
  <c r="H19" i="39"/>
  <c r="I19" i="39" s="1"/>
  <c r="M87" i="46" l="1"/>
  <c r="N87" i="46" s="1"/>
  <c r="O87" i="46" s="1"/>
  <c r="M97" i="46"/>
  <c r="N97" i="46" s="1"/>
  <c r="O97" i="46" s="1"/>
  <c r="M91" i="46"/>
  <c r="N91" i="46" s="1"/>
  <c r="O91" i="46" s="1"/>
  <c r="M93" i="46"/>
  <c r="N93" i="46" s="1"/>
  <c r="O93" i="46" s="1"/>
  <c r="M88" i="46"/>
  <c r="N88" i="46" s="1"/>
  <c r="O88" i="46" s="1"/>
  <c r="M94" i="46"/>
  <c r="N94" i="46" s="1"/>
  <c r="O94" i="46" s="1"/>
  <c r="M84" i="46"/>
  <c r="N84" i="46" s="1"/>
  <c r="O84" i="46" s="1"/>
  <c r="M89" i="46"/>
  <c r="N89" i="46" s="1"/>
  <c r="O89" i="46" s="1"/>
  <c r="M90" i="46"/>
  <c r="N90" i="46" s="1"/>
  <c r="O90" i="46" s="1"/>
  <c r="M95" i="46"/>
  <c r="N95" i="46" s="1"/>
  <c r="O95" i="46" s="1"/>
  <c r="M96" i="46"/>
  <c r="N96" i="46" s="1"/>
  <c r="O96" i="46" s="1"/>
  <c r="M85" i="46"/>
  <c r="N85" i="46" s="1"/>
  <c r="O85" i="46" s="1"/>
  <c r="M92" i="46"/>
  <c r="N92" i="46" s="1"/>
  <c r="O92" i="46" s="1"/>
  <c r="M86" i="46"/>
  <c r="N86" i="46" s="1"/>
  <c r="O86" i="46" s="1"/>
  <c r="G98" i="46"/>
  <c r="G19" i="39"/>
  <c r="F20" i="39"/>
  <c r="D21" i="39"/>
  <c r="E20" i="39"/>
  <c r="H20" i="39"/>
  <c r="I20" i="39" s="1"/>
  <c r="O98" i="46" l="1"/>
  <c r="G20" i="39"/>
  <c r="F21" i="39"/>
  <c r="D22" i="39"/>
  <c r="H21" i="39"/>
  <c r="I21" i="39" s="1"/>
  <c r="E21" i="39"/>
  <c r="G21" i="39" l="1"/>
  <c r="H22" i="39"/>
  <c r="I22" i="39" s="1"/>
  <c r="E22" i="39"/>
  <c r="D23" i="39"/>
  <c r="F22" i="39"/>
  <c r="G22" i="39" l="1"/>
  <c r="F23" i="39"/>
  <c r="H23" i="39"/>
  <c r="I23" i="39" s="1"/>
  <c r="D24" i="39"/>
  <c r="E23" i="39"/>
  <c r="G23" i="39" l="1"/>
  <c r="H24" i="39"/>
  <c r="I24" i="39" s="1"/>
  <c r="D25" i="39"/>
  <c r="E24" i="39"/>
  <c r="F24" i="39"/>
  <c r="G24" i="39" l="1"/>
  <c r="E25" i="39"/>
  <c r="H25" i="39"/>
  <c r="I25" i="39" s="1"/>
  <c r="F25" i="39"/>
  <c r="D26" i="39"/>
  <c r="E26" i="39" l="1"/>
  <c r="H26" i="39"/>
  <c r="I26" i="39" s="1"/>
  <c r="F26" i="39"/>
  <c r="D27" i="39"/>
  <c r="G25" i="39"/>
  <c r="D28" i="39" l="1"/>
  <c r="E27" i="39"/>
  <c r="F27" i="39"/>
  <c r="H27" i="39"/>
  <c r="I27" i="39" s="1"/>
  <c r="G26" i="39"/>
  <c r="H28" i="39" l="1"/>
  <c r="I28" i="39" s="1"/>
  <c r="F28" i="39"/>
  <c r="D29" i="39"/>
  <c r="E28" i="39"/>
  <c r="G27" i="39"/>
  <c r="G28" i="39" l="1"/>
  <c r="E29" i="39"/>
  <c r="F29" i="39"/>
  <c r="D30" i="39"/>
  <c r="H29" i="39"/>
  <c r="I29" i="39" s="1"/>
  <c r="E30" i="39" l="1"/>
  <c r="H30" i="39"/>
  <c r="I30" i="39" s="1"/>
  <c r="F30" i="39"/>
  <c r="D31" i="39"/>
  <c r="G29" i="39"/>
  <c r="H31" i="39" l="1"/>
  <c r="I31" i="39" s="1"/>
  <c r="E31" i="39"/>
  <c r="F31" i="39"/>
  <c r="D32" i="39"/>
  <c r="G30" i="39"/>
  <c r="G31" i="39" l="1"/>
  <c r="F32" i="39"/>
  <c r="E32" i="39"/>
  <c r="H32" i="39"/>
  <c r="I32" i="39" s="1"/>
  <c r="D33" i="39"/>
  <c r="G32" i="39" l="1"/>
  <c r="E33" i="39"/>
  <c r="D34" i="39"/>
  <c r="H33" i="39"/>
  <c r="I33" i="39" s="1"/>
  <c r="F33" i="39"/>
  <c r="D35" i="39" l="1"/>
  <c r="H34" i="39"/>
  <c r="I34" i="39" s="1"/>
  <c r="E34" i="39"/>
  <c r="F34" i="39"/>
  <c r="G33" i="39"/>
  <c r="G34" i="39" l="1"/>
  <c r="D36" i="39"/>
  <c r="H35" i="39"/>
  <c r="I35" i="39" s="1"/>
  <c r="E35" i="39"/>
  <c r="F35" i="39"/>
  <c r="G35" i="39" l="1"/>
  <c r="E36" i="39"/>
  <c r="D37" i="39"/>
  <c r="H36" i="39"/>
  <c r="I36" i="39" s="1"/>
  <c r="F36" i="39"/>
  <c r="G36" i="39" l="1"/>
  <c r="H37" i="39"/>
  <c r="I37" i="39" s="1"/>
  <c r="E37" i="39"/>
  <c r="F37" i="39"/>
  <c r="D38" i="39"/>
  <c r="E38" i="39" l="1"/>
  <c r="H38" i="39"/>
  <c r="I38" i="39" s="1"/>
  <c r="D39" i="39"/>
  <c r="F38" i="39"/>
  <c r="G37" i="39"/>
  <c r="E39" i="39" l="1"/>
  <c r="H39" i="39"/>
  <c r="I39" i="39" s="1"/>
  <c r="F39" i="39"/>
  <c r="D40" i="39"/>
  <c r="G38" i="39"/>
  <c r="D41" i="39" l="1"/>
  <c r="F40" i="39"/>
  <c r="E40" i="39"/>
  <c r="H40" i="39"/>
  <c r="I40" i="39" s="1"/>
  <c r="G39" i="39"/>
  <c r="G40" i="39" l="1"/>
  <c r="D42" i="39"/>
  <c r="E41" i="39"/>
  <c r="H41" i="39"/>
  <c r="I41" i="39" s="1"/>
  <c r="F41" i="39"/>
  <c r="G41" i="39" l="1"/>
  <c r="H42" i="39"/>
  <c r="I42" i="39" s="1"/>
  <c r="D43" i="39"/>
  <c r="F42" i="39"/>
  <c r="E42" i="39"/>
  <c r="G42" i="39" l="1"/>
  <c r="E43" i="39"/>
  <c r="D44" i="39"/>
  <c r="F43" i="39"/>
  <c r="H43" i="39"/>
  <c r="I43" i="39" s="1"/>
  <c r="H44" i="39" l="1"/>
  <c r="I44" i="39" s="1"/>
  <c r="F44" i="39"/>
  <c r="E44" i="39"/>
  <c r="D45" i="39"/>
  <c r="G43" i="39"/>
  <c r="G44" i="39" l="1"/>
  <c r="H45" i="39"/>
  <c r="I45" i="39" s="1"/>
  <c r="E45" i="39"/>
  <c r="F45" i="39"/>
  <c r="D46" i="39"/>
  <c r="G45" i="39" l="1"/>
  <c r="H46" i="39"/>
  <c r="I46" i="39" s="1"/>
  <c r="D47" i="39"/>
  <c r="E46" i="39"/>
  <c r="F46" i="39"/>
  <c r="F47" i="39" l="1"/>
  <c r="H47" i="39"/>
  <c r="I47" i="39" s="1"/>
  <c r="D48" i="39"/>
  <c r="E47" i="39"/>
  <c r="G46" i="39"/>
  <c r="G47" i="39" l="1"/>
  <c r="H48" i="39"/>
  <c r="I48" i="39" s="1"/>
  <c r="E48" i="39"/>
  <c r="F48" i="39"/>
  <c r="D49" i="39"/>
  <c r="D50" i="39" l="1"/>
  <c r="E49" i="39"/>
  <c r="F49" i="39"/>
  <c r="H49" i="39"/>
  <c r="I49" i="39" s="1"/>
  <c r="G48" i="39"/>
  <c r="G49" i="39" l="1"/>
  <c r="H50" i="39"/>
  <c r="I50" i="39" s="1"/>
  <c r="D51" i="39"/>
  <c r="E50" i="39"/>
  <c r="F50" i="39"/>
  <c r="G50" i="39" l="1"/>
  <c r="D52" i="39"/>
  <c r="E51" i="39"/>
  <c r="F51" i="39"/>
  <c r="H51" i="39"/>
  <c r="I51" i="39" s="1"/>
  <c r="G51" i="39" l="1"/>
  <c r="H52" i="39"/>
  <c r="I52" i="39" s="1"/>
  <c r="E52" i="39"/>
  <c r="F52" i="39"/>
  <c r="D53" i="39"/>
  <c r="G52" i="39" l="1"/>
  <c r="E53" i="39"/>
  <c r="F53" i="39"/>
  <c r="D54" i="39"/>
  <c r="H53" i="39"/>
  <c r="I53" i="39" s="1"/>
  <c r="F54" i="39" l="1"/>
  <c r="E54" i="39"/>
  <c r="H54" i="39"/>
  <c r="I54" i="39" s="1"/>
  <c r="G53" i="39"/>
  <c r="G54" i="39" l="1"/>
  <c r="B20" i="39"/>
  <c r="M5" i="39" l="1"/>
  <c r="J5" i="39"/>
  <c r="K5" i="39" s="1"/>
  <c r="J45" i="39"/>
  <c r="K45" i="39" s="1"/>
  <c r="L45" i="39" s="1"/>
  <c r="M38" i="39"/>
  <c r="M28" i="39"/>
  <c r="M15" i="39"/>
  <c r="J46" i="39"/>
  <c r="K46" i="39" s="1"/>
  <c r="L46" i="39" s="1"/>
  <c r="M8" i="39"/>
  <c r="J8" i="39"/>
  <c r="K8" i="39" s="1"/>
  <c r="L8" i="39" s="1"/>
  <c r="M39" i="39"/>
  <c r="J17" i="39"/>
  <c r="K17" i="39" s="1"/>
  <c r="L17" i="39" s="1"/>
  <c r="M40" i="39"/>
  <c r="J40" i="39"/>
  <c r="K40" i="39" s="1"/>
  <c r="L40" i="39" s="1"/>
  <c r="J10" i="39"/>
  <c r="K10" i="39" s="1"/>
  <c r="L10" i="39" s="1"/>
  <c r="M44" i="39"/>
  <c r="J15" i="39"/>
  <c r="K15" i="39" s="1"/>
  <c r="L15" i="39" s="1"/>
  <c r="M49" i="39"/>
  <c r="M13" i="39"/>
  <c r="M7" i="39"/>
  <c r="J21" i="39"/>
  <c r="K21" i="39" s="1"/>
  <c r="L21" i="39" s="1"/>
  <c r="M20" i="39"/>
  <c r="J50" i="39"/>
  <c r="K50" i="39" s="1"/>
  <c r="L50" i="39" s="1"/>
  <c r="M19" i="39"/>
  <c r="J37" i="39"/>
  <c r="K37" i="39" s="1"/>
  <c r="L37" i="39" s="1"/>
  <c r="M18" i="39"/>
  <c r="J13" i="39"/>
  <c r="K13" i="39" s="1"/>
  <c r="L13" i="39" s="1"/>
  <c r="M6" i="39"/>
  <c r="M53" i="39"/>
  <c r="M10" i="39"/>
  <c r="J34" i="39"/>
  <c r="K34" i="39" s="1"/>
  <c r="L34" i="39" s="1"/>
  <c r="J16" i="39"/>
  <c r="K16" i="39" s="1"/>
  <c r="L16" i="39" s="1"/>
  <c r="J33" i="39"/>
  <c r="K33" i="39" s="1"/>
  <c r="L33" i="39" s="1"/>
  <c r="J9" i="39"/>
  <c r="K9" i="39" s="1"/>
  <c r="L9" i="39" s="1"/>
  <c r="J32" i="39"/>
  <c r="K32" i="39" s="1"/>
  <c r="L32" i="39" s="1"/>
  <c r="J44" i="39"/>
  <c r="K44" i="39" s="1"/>
  <c r="L44" i="39" s="1"/>
  <c r="M54" i="39"/>
  <c r="J31" i="39"/>
  <c r="K31" i="39" s="1"/>
  <c r="L31" i="39" s="1"/>
  <c r="M12" i="39"/>
  <c r="J7" i="39"/>
  <c r="K7" i="39" s="1"/>
  <c r="L7" i="39" s="1"/>
  <c r="J35" i="39"/>
  <c r="K35" i="39" s="1"/>
  <c r="L35" i="39" s="1"/>
  <c r="M45" i="39"/>
  <c r="J22" i="39"/>
  <c r="K22" i="39" s="1"/>
  <c r="L22" i="39" s="1"/>
  <c r="J52" i="39"/>
  <c r="K52" i="39" s="1"/>
  <c r="L52" i="39" s="1"/>
  <c r="J28" i="39"/>
  <c r="K28" i="39" s="1"/>
  <c r="L28" i="39" s="1"/>
  <c r="J51" i="39"/>
  <c r="K51" i="39" s="1"/>
  <c r="L51" i="39" s="1"/>
  <c r="M50" i="39"/>
  <c r="J27" i="39"/>
  <c r="K27" i="39" s="1"/>
  <c r="L27" i="39" s="1"/>
  <c r="M25" i="39"/>
  <c r="J26" i="39"/>
  <c r="K26" i="39" s="1"/>
  <c r="L26" i="39" s="1"/>
  <c r="M42" i="39"/>
  <c r="J43" i="39"/>
  <c r="K43" i="39" s="1"/>
  <c r="L43" i="39" s="1"/>
  <c r="J53" i="39"/>
  <c r="K53" i="39" s="1"/>
  <c r="L53" i="39" s="1"/>
  <c r="M35" i="39"/>
  <c r="J24" i="39"/>
  <c r="K24" i="39" s="1"/>
  <c r="L24" i="39" s="1"/>
  <c r="M17" i="39"/>
  <c r="M11" i="39"/>
  <c r="J6" i="39"/>
  <c r="K6" i="39" s="1"/>
  <c r="L6" i="39" s="1"/>
  <c r="J47" i="39"/>
  <c r="K47" i="39" s="1"/>
  <c r="L47" i="39" s="1"/>
  <c r="M51" i="39"/>
  <c r="M9" i="39"/>
  <c r="M21" i="39"/>
  <c r="M26" i="39"/>
  <c r="J39" i="39"/>
  <c r="K39" i="39" s="1"/>
  <c r="L39" i="39" s="1"/>
  <c r="M43" i="39"/>
  <c r="J14" i="39"/>
  <c r="K14" i="39" s="1"/>
  <c r="L14" i="39" s="1"/>
  <c r="M30" i="39"/>
  <c r="M31" i="39"/>
  <c r="M36" i="39"/>
  <c r="J19" i="39"/>
  <c r="K19" i="39" s="1"/>
  <c r="L19" i="39" s="1"/>
  <c r="M41" i="39"/>
  <c r="M52" i="39"/>
  <c r="M46" i="39"/>
  <c r="J42" i="39"/>
  <c r="K42" i="39" s="1"/>
  <c r="L42" i="39" s="1"/>
  <c r="J36" i="39"/>
  <c r="K36" i="39" s="1"/>
  <c r="L36" i="39" s="1"/>
  <c r="J30" i="39"/>
  <c r="K30" i="39" s="1"/>
  <c r="L30" i="39" s="1"/>
  <c r="M22" i="39"/>
  <c r="J18" i="39"/>
  <c r="K18" i="39" s="1"/>
  <c r="L18" i="39" s="1"/>
  <c r="J12" i="39"/>
  <c r="K12" i="39" s="1"/>
  <c r="L12" i="39" s="1"/>
  <c r="L5" i="39"/>
  <c r="M23" i="39"/>
  <c r="M27" i="39"/>
  <c r="M33" i="39"/>
  <c r="M14" i="39"/>
  <c r="M32" i="39"/>
  <c r="M37" i="39"/>
  <c r="J20" i="39"/>
  <c r="K20" i="39" s="1"/>
  <c r="L20" i="39" s="1"/>
  <c r="J38" i="39"/>
  <c r="K38" i="39" s="1"/>
  <c r="L38" i="39" s="1"/>
  <c r="M48" i="39"/>
  <c r="M24" i="39"/>
  <c r="J49" i="39"/>
  <c r="K49" i="39" s="1"/>
  <c r="L49" i="39" s="1"/>
  <c r="J25" i="39"/>
  <c r="K25" i="39" s="1"/>
  <c r="L25" i="39" s="1"/>
  <c r="J48" i="39"/>
  <c r="K48" i="39" s="1"/>
  <c r="L48" i="39" s="1"/>
  <c r="M29" i="39"/>
  <c r="J54" i="39"/>
  <c r="K54" i="39" s="1"/>
  <c r="L54" i="39" s="1"/>
  <c r="M47" i="39"/>
  <c r="J41" i="39"/>
  <c r="K41" i="39" s="1"/>
  <c r="L41" i="39" s="1"/>
  <c r="M34" i="39"/>
  <c r="J29" i="39"/>
  <c r="K29" i="39" s="1"/>
  <c r="L29" i="39" s="1"/>
  <c r="J23" i="39"/>
  <c r="K23" i="39" s="1"/>
  <c r="L23" i="39" s="1"/>
  <c r="M16" i="39"/>
  <c r="J11" i="39"/>
  <c r="K11" i="39" s="1"/>
  <c r="L11" i="39" s="1"/>
  <c r="B21" i="39" l="1"/>
  <c r="B25" i="39"/>
  <c r="B23" i="39"/>
  <c r="B24" i="39" s="1"/>
  <c r="B27" i="39" s="1"/>
  <c r="B26" i="39" l="1"/>
  <c r="B28" i="3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PortatilIbm</author>
  </authors>
  <commentList>
    <comment ref="B6" authorId="0" shapeId="0" xr:uid="{00000000-0006-0000-0000-000001000000}">
      <text>
        <r>
          <rPr>
            <b/>
            <sz val="8"/>
            <color rgb="FF000000"/>
            <rFont val="Tahoma"/>
            <family val="2"/>
          </rPr>
          <t xml:space="preserve">+DiaLab()
</t>
        </r>
        <r>
          <rPr>
            <b/>
            <sz val="8"/>
            <color rgb="FF000000"/>
            <rFont val="Tahoma"/>
            <family val="2"/>
          </rPr>
          <t>Cuenta los días laborales que se tomen como referencia</t>
        </r>
      </text>
    </comment>
  </commentList>
</comments>
</file>

<file path=xl/sharedStrings.xml><?xml version="1.0" encoding="utf-8"?>
<sst xmlns="http://schemas.openxmlformats.org/spreadsheetml/2006/main" count="481" uniqueCount="205">
  <si>
    <t>Cupón</t>
  </si>
  <si>
    <t>Duración</t>
  </si>
  <si>
    <t>Años</t>
  </si>
  <si>
    <t>TIR</t>
  </si>
  <si>
    <t>Nominal</t>
  </si>
  <si>
    <t>Vencimiento</t>
  </si>
  <si>
    <t>Bono</t>
  </si>
  <si>
    <t>Precio</t>
  </si>
  <si>
    <t>Sensi</t>
  </si>
  <si>
    <t>Base</t>
  </si>
  <si>
    <t>Dur</t>
  </si>
  <si>
    <t>Efectivo</t>
  </si>
  <si>
    <t>Ultimo cupón</t>
  </si>
  <si>
    <t>Próximo cupón</t>
  </si>
  <si>
    <t>CC</t>
  </si>
  <si>
    <t>BONO</t>
  </si>
  <si>
    <t>Convexidad</t>
  </si>
  <si>
    <t>Cupon corrido de un Bono</t>
  </si>
  <si>
    <t>Carry de un Bono</t>
  </si>
  <si>
    <t>Flujos</t>
  </si>
  <si>
    <t>Nº días</t>
  </si>
  <si>
    <t>F.Dcto</t>
  </si>
  <si>
    <t>V.act. flujos</t>
  </si>
  <si>
    <t>(A)x(C)x[(C)+1)]</t>
  </si>
  <si>
    <t>Vcto</t>
  </si>
  <si>
    <t>Fechas</t>
  </si>
  <si>
    <t>Cupones</t>
  </si>
  <si>
    <t>Principales</t>
  </si>
  <si>
    <t>(A)</t>
  </si>
  <si>
    <t>(B)</t>
  </si>
  <si>
    <t>(C)=(B)/base</t>
  </si>
  <si>
    <t>(D)</t>
  </si>
  <si>
    <t>(E)=(A)x(D)</t>
  </si>
  <si>
    <t>(C) x (E)</t>
  </si>
  <si>
    <t>[1+TIR]^[(C)+2]</t>
  </si>
  <si>
    <t>Cupón Bono</t>
  </si>
  <si>
    <t>Fecha contratación</t>
  </si>
  <si>
    <t>cotización</t>
  </si>
  <si>
    <t xml:space="preserve">Fecha Valor </t>
  </si>
  <si>
    <t>Fecha liquidación</t>
  </si>
  <si>
    <t>C.C.</t>
  </si>
  <si>
    <t>Ultimo Cupón</t>
  </si>
  <si>
    <t>Proximo Cupón</t>
  </si>
  <si>
    <t>Frecuencia Cupones</t>
  </si>
  <si>
    <t>Días desde ultimo cupón hasta fecha ida ("d1")</t>
  </si>
  <si>
    <t>DATOS INTERMEDIOS</t>
  </si>
  <si>
    <t>Días hasta próximo Cupón</t>
  </si>
  <si>
    <t>días c.c.</t>
  </si>
  <si>
    <t>Dias Base ("Act")</t>
  </si>
  <si>
    <t>Repo</t>
  </si>
  <si>
    <t>dias restan</t>
  </si>
  <si>
    <t>FRAC AÑO</t>
  </si>
  <si>
    <t>Total año</t>
  </si>
  <si>
    <t>Bono Comprado</t>
  </si>
  <si>
    <t>ult.cupón</t>
  </si>
  <si>
    <t>prox.cupón</t>
  </si>
  <si>
    <t>Precio completo</t>
  </si>
  <si>
    <t>Bono vendido</t>
  </si>
  <si>
    <t>RESULTADOS DE CÁLCULOS</t>
  </si>
  <si>
    <t>Duración:</t>
  </si>
  <si>
    <t>Vida Residual</t>
  </si>
  <si>
    <t>D.Corregida (%)</t>
  </si>
  <si>
    <t>PVBP</t>
  </si>
  <si>
    <t>Correc.Convex. (1 p.b):</t>
  </si>
  <si>
    <t>Total Ajuste precio</t>
  </si>
  <si>
    <t>Ajuste en precio (1.000€)</t>
  </si>
  <si>
    <t>Ajuste en precio Total (1.000€)</t>
  </si>
  <si>
    <t>CALCULO DEL PRECIO FORWARD PARA UN BONO</t>
  </si>
  <si>
    <t>SIN CORTE DE CUPÓN INTERMEDIO</t>
  </si>
  <si>
    <t>CON CORTE DE CUPÓN INTERMEDIO</t>
  </si>
  <si>
    <r>
      <t>Tipo financiación ("r</t>
    </r>
    <r>
      <rPr>
        <vertAlign val="subscript"/>
        <sz val="11"/>
        <color indexed="62"/>
        <rFont val="Arial"/>
        <family val="2"/>
      </rPr>
      <t>f</t>
    </r>
    <r>
      <rPr>
        <sz val="11"/>
        <color indexed="62"/>
        <rFont val="Arial"/>
        <family val="2"/>
      </rPr>
      <t>")</t>
    </r>
  </si>
  <si>
    <t>Horizonte ("d")</t>
  </si>
  <si>
    <r>
      <t>Tipo Inversión ("r</t>
    </r>
    <r>
      <rPr>
        <vertAlign val="subscript"/>
        <sz val="11"/>
        <color indexed="62"/>
        <rFont val="Arial"/>
        <family val="2"/>
      </rPr>
      <t>i</t>
    </r>
    <r>
      <rPr>
        <sz val="11"/>
        <color indexed="62"/>
        <rFont val="Arial"/>
        <family val="2"/>
      </rPr>
      <t>")</t>
    </r>
  </si>
  <si>
    <t>Fecha Vuelta</t>
  </si>
  <si>
    <t>Corta cupón???</t>
  </si>
  <si>
    <t>Próximo cupón sin Corte</t>
  </si>
  <si>
    <t>CC Ida ("CC0")</t>
  </si>
  <si>
    <t>FRAC AÑO (sin corte)</t>
  </si>
  <si>
    <t>Precio Completo IDA (P0+CC0)</t>
  </si>
  <si>
    <t>Dias desde corte de cupón hasta Vuelta ("d2")</t>
  </si>
  <si>
    <t>CC Vuelta ("CC1")</t>
  </si>
  <si>
    <t>Días desde Forward hasta proximo corte</t>
  </si>
  <si>
    <t>FRAC AÑO (con corte)</t>
  </si>
  <si>
    <t>Forward</t>
  </si>
  <si>
    <t>GESTIÓN DE LA DURACIÓN DE UN PORTFOLIO</t>
  </si>
  <si>
    <t>Cartera 1</t>
  </si>
  <si>
    <t>Cartera 2</t>
  </si>
  <si>
    <t>Referencia</t>
  </si>
  <si>
    <t>Nom 1</t>
  </si>
  <si>
    <t>Nom 2</t>
  </si>
  <si>
    <t>Peso1</t>
  </si>
  <si>
    <t>Peso2</t>
  </si>
  <si>
    <t>D. Bono</t>
  </si>
  <si>
    <t>S.Bono</t>
  </si>
  <si>
    <t>Reducir duración de la cartera</t>
  </si>
  <si>
    <t xml:space="preserve">Incrementar duración de la cartera </t>
  </si>
  <si>
    <t>- Compra de bonos con Cupón alto</t>
  </si>
  <si>
    <t>- Venta de bonos con cupón bajo</t>
  </si>
  <si>
    <t>Reducción del plazo de la cartera</t>
  </si>
  <si>
    <r>
      <t xml:space="preserve"> </t>
    </r>
    <r>
      <rPr>
        <b/>
        <sz val="11"/>
        <color indexed="12"/>
        <rFont val="Calibri"/>
        <family val="2"/>
      </rPr>
      <t>Ampliar del plazo de la cartera</t>
    </r>
  </si>
  <si>
    <t>- Comprar bonos cortos</t>
  </si>
  <si>
    <t>- Vender bonos largos</t>
  </si>
  <si>
    <t>Posición total cartera</t>
  </si>
  <si>
    <t>VPB</t>
  </si>
  <si>
    <t>Tipo</t>
  </si>
  <si>
    <t>Operación</t>
  </si>
  <si>
    <t>valor</t>
  </si>
  <si>
    <t>vencimiento 1</t>
  </si>
  <si>
    <t>vencimiento 2</t>
  </si>
  <si>
    <t>Período Corto</t>
  </si>
  <si>
    <t>Tipo Corto</t>
  </si>
  <si>
    <t>Período largo</t>
  </si>
  <si>
    <t>Tipo Largo</t>
  </si>
  <si>
    <t>Período entre fechas</t>
  </si>
  <si>
    <t>IMPLICITOS</t>
  </si>
  <si>
    <t>3/6</t>
  </si>
  <si>
    <t>6/12</t>
  </si>
  <si>
    <t>Implicito</t>
  </si>
  <si>
    <t>ç</t>
  </si>
  <si>
    <t>Cotización</t>
  </si>
  <si>
    <t>Fecha</t>
  </si>
  <si>
    <t>varición %</t>
  </si>
  <si>
    <t>Precio Bono</t>
  </si>
  <si>
    <t>Flujo</t>
  </si>
  <si>
    <t>n</t>
  </si>
  <si>
    <t>BONO 30 años</t>
  </si>
  <si>
    <t>BONO 10 años</t>
  </si>
  <si>
    <t>BONO 5 años</t>
  </si>
  <si>
    <t>Bono 30</t>
  </si>
  <si>
    <t>Bono 10</t>
  </si>
  <si>
    <t>Bono 5</t>
  </si>
  <si>
    <t>Bono 3</t>
  </si>
  <si>
    <t>BONO 3 años</t>
  </si>
  <si>
    <t>VR</t>
  </si>
  <si>
    <t>Duración (3)*(5)</t>
  </si>
  <si>
    <t>VAN Flujos (5)=(1)*(4)</t>
  </si>
  <si>
    <t>FD (4)</t>
  </si>
  <si>
    <t>Años (3)=(2)/Act</t>
  </si>
  <si>
    <t>Días(2)</t>
  </si>
  <si>
    <t>Flujos (1)</t>
  </si>
  <si>
    <t>Px</t>
  </si>
  <si>
    <t>A menor TIR, Mayor duración</t>
  </si>
  <si>
    <t>A mayor frecuencia en el pago de cupones, Menor duración</t>
  </si>
  <si>
    <t>A mayor cupón, Menor duración</t>
  </si>
  <si>
    <t>A mayor plazo del bono, Mayor duración</t>
  </si>
  <si>
    <t xml:space="preserve">Duración Bono 4,00%  </t>
  </si>
  <si>
    <t>Semestral</t>
  </si>
  <si>
    <t>Anual</t>
  </si>
  <si>
    <t>OE 2,75%  31/10/24</t>
  </si>
  <si>
    <t>OE 6% 31/01/2029</t>
  </si>
  <si>
    <t xml:space="preserve">OE 1.45% 30/4/2029  </t>
  </si>
  <si>
    <t>OE 1,85% 30/07/2035</t>
  </si>
  <si>
    <t>OE 2,70% 31/10/2048</t>
  </si>
  <si>
    <t>OE 1,45% 31/10/2071</t>
  </si>
  <si>
    <t>Sensibilidad</t>
  </si>
  <si>
    <t>GESTIÓN DE POSICIONES DE CURVA CON BONOS</t>
  </si>
  <si>
    <t>OPERACIÓN IDA</t>
  </si>
  <si>
    <t xml:space="preserve">Cupón </t>
  </si>
  <si>
    <t>Spread TIR</t>
  </si>
  <si>
    <t>C. Sensib.</t>
  </si>
  <si>
    <t>Estrategia</t>
  </si>
  <si>
    <t>OPERACIÓN VUELTA</t>
  </si>
  <si>
    <t>Var. TIR</t>
  </si>
  <si>
    <t>Movimiento</t>
  </si>
  <si>
    <t>Resultado Bono</t>
  </si>
  <si>
    <t>Resultado total</t>
  </si>
  <si>
    <t>SPGB 4,40% 31/10/23</t>
  </si>
  <si>
    <t>SPGB 0,50% 31/10/31</t>
  </si>
  <si>
    <t>Venta</t>
  </si>
  <si>
    <t>Tipo O/N</t>
  </si>
  <si>
    <t xml:space="preserve">Hallar los siguientes tipos implícitos: Tipo 3 meses contra  6 meses / Tipo 6 meses contra  12 meses </t>
  </si>
  <si>
    <t>TIPO IMPLICITO</t>
  </si>
  <si>
    <t>Tipos implicitos a menos de 1 año, a mas de 1 año y con FD</t>
  </si>
  <si>
    <t>Plazo</t>
  </si>
  <si>
    <t>Días</t>
  </si>
  <si>
    <t>Tipos</t>
  </si>
  <si>
    <t>FA</t>
  </si>
  <si>
    <t>1+r*FA</t>
  </si>
  <si>
    <t>Cociente -1</t>
  </si>
  <si>
    <t>I</t>
  </si>
  <si>
    <t>J</t>
  </si>
  <si>
    <t>FD</t>
  </si>
  <si>
    <t>1/(FAj-FAi)</t>
  </si>
  <si>
    <t>Cociente FD-1</t>
  </si>
  <si>
    <t>Cociente FD^FA</t>
  </si>
  <si>
    <t>(1+r)^FA</t>
  </si>
  <si>
    <t>Cociente</t>
  </si>
  <si>
    <t>Cociente^FA-1</t>
  </si>
  <si>
    <t>SPGLT 0 09-dic.-2022</t>
  </si>
  <si>
    <t>SPGLT 0 10-mar.-2023</t>
  </si>
  <si>
    <t>SPGLT 0 09-jun.-2023</t>
  </si>
  <si>
    <t>SPGLT 0 08-sep.-2023</t>
  </si>
  <si>
    <t>SPGB 0 31-may.-2024</t>
  </si>
  <si>
    <t>SPGB 0 31-ene.-2025</t>
  </si>
  <si>
    <t>SPGB 0 31-ene.-2026</t>
  </si>
  <si>
    <t>SPGB 0,8 30-jul.-2027</t>
  </si>
  <si>
    <t>SPGB 0 31-ene.-2028</t>
  </si>
  <si>
    <t>SPGB 0,6 31-oct.-2029</t>
  </si>
  <si>
    <t>SPGB 1,25 31-oct.-2030</t>
  </si>
  <si>
    <t>SPGB 0,5 31-oct.-2031</t>
  </si>
  <si>
    <t>SPGB 2,55 31-oct.-2032</t>
  </si>
  <si>
    <t>SPGB 0,85 30-jul.-2037</t>
  </si>
  <si>
    <t>SPGB 1 30-jul.-2042</t>
  </si>
  <si>
    <t>SPGB 2,9 31-oct.-2046</t>
  </si>
  <si>
    <t>SPGB 1,9 31-oct.-2052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</si>
</sst>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_-* #,##0.00&quot;€&quot;_-;\-* #,##0.00&quot;€&quot;_-;_-* &quot;-&quot;??&quot;€&quot;_-;_-@_-"/>
    <numFmt numFmtId="166" formatCode="_-* #,##0.00_€_-;\-* #,##0.00_€_-;_-* &quot;-&quot;??_€_-;_-@_-"/>
    <numFmt numFmtId="167" formatCode="0.000"/>
    <numFmt numFmtId="168" formatCode="0.000%"/>
    <numFmt numFmtId="169" formatCode="0.0000"/>
    <numFmt numFmtId="170" formatCode="[$-C0A]d\-mmm\-yy;@"/>
    <numFmt numFmtId="171" formatCode="_([$€]* #,##0.00_);_([$€]* \(#,##0.00\);_([$€]* \-??_);_(@_)"/>
    <numFmt numFmtId="172" formatCode="#,##0.00\ &quot;€&quot;"/>
    <numFmt numFmtId="173" formatCode="_-* #,##0.00\ [$€-C0A]_-;\-* #,##0.00\ [$€-C0A]_-;_-* &quot;-&quot;??\ [$€-C0A]_-;_-@_-"/>
    <numFmt numFmtId="174" formatCode="_(* #,##0.00_);_(* \(#,##0.00\);_(* &quot;-&quot;??_);_(@_)"/>
    <numFmt numFmtId="175" formatCode="0.00000%"/>
    <numFmt numFmtId="176" formatCode="dd\-mmm\-yyyy\ ddd"/>
    <numFmt numFmtId="177" formatCode="#,##0.0\ &quot;€&quot;;[Red]\-#,##0.00\ &quot;€&quot;"/>
    <numFmt numFmtId="178" formatCode="0.00000"/>
    <numFmt numFmtId="179" formatCode="0.000\ &quot;Años&quot;"/>
    <numFmt numFmtId="180" formatCode="0.000\ &quot;p.b.&quot;"/>
    <numFmt numFmtId="181" formatCode="_-* #,##0.000\ [$€-C0A]_-;\-* #,##0.000\ [$€-C0A]_-;_-* &quot;-&quot;??\ [$€-C0A]_-;_-@_-"/>
    <numFmt numFmtId="182" formatCode="dd\-mmm\-yyyy;"/>
    <numFmt numFmtId="183" formatCode="[$-C0A]d\-mmm\-yyyy;@"/>
    <numFmt numFmtId="184" formatCode="0.000000%"/>
    <numFmt numFmtId="185" formatCode="0.0000000%"/>
    <numFmt numFmtId="186" formatCode="0.000000000%"/>
    <numFmt numFmtId="187" formatCode="0.0000%"/>
    <numFmt numFmtId="188" formatCode="[$-C0A]dd\-mmm\-yy;@"/>
    <numFmt numFmtId="189" formatCode="_-* #,##0.000_€_-;\-* #,##0.000_€_-;_-* &quot;-&quot;??_€_-;_-@_-"/>
    <numFmt numFmtId="190" formatCode="[Blue]#,##0.0\ &quot;€&quot;;[Red]\-#,##0.0\ &quot;€&quot;"/>
    <numFmt numFmtId="191" formatCode="#,##0.000_ ;[Red]\-#,##0.000\ "/>
    <numFmt numFmtId="192" formatCode="#,##0.000"/>
    <numFmt numFmtId="193" formatCode="dd/mm/yyyy\ ddd"/>
    <numFmt numFmtId="194" formatCode="_-* #,##0_-;\-* #,##0_-;_-* &quot;-&quot;?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2"/>
      <name val="Verdana"/>
      <family val="2"/>
    </font>
    <font>
      <sz val="10"/>
      <name val="Verdana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rgb="FF0000FF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6"/>
      <color indexed="9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indexed="3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20"/>
      <color theme="0"/>
      <name val="Calibri"/>
      <family val="2"/>
      <scheme val="minor"/>
    </font>
    <font>
      <sz val="10"/>
      <name val="Arial"/>
      <family val="2"/>
    </font>
    <font>
      <sz val="11"/>
      <color theme="4" tint="-0.499984740745262"/>
      <name val="Arial"/>
      <family val="2"/>
    </font>
    <font>
      <vertAlign val="subscript"/>
      <sz val="11"/>
      <color indexed="62"/>
      <name val="Arial"/>
      <family val="2"/>
    </font>
    <font>
      <sz val="11"/>
      <color indexed="62"/>
      <name val="Arial"/>
      <family val="2"/>
    </font>
    <font>
      <b/>
      <sz val="12"/>
      <color rgb="FFFF0000"/>
      <name val="Arial"/>
      <family val="2"/>
    </font>
    <font>
      <b/>
      <sz val="16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0000FF"/>
      <name val="Calibri"/>
      <family val="2"/>
    </font>
    <font>
      <sz val="11"/>
      <color indexed="12"/>
      <name val="Arial"/>
      <family val="2"/>
    </font>
    <font>
      <b/>
      <sz val="11"/>
      <color rgb="FF000000"/>
      <name val="Calibri"/>
      <family val="2"/>
    </font>
    <font>
      <b/>
      <sz val="11"/>
      <color indexed="12"/>
      <name val="Calibri"/>
      <family val="2"/>
    </font>
    <font>
      <sz val="8"/>
      <name val="Arial"/>
      <family val="2"/>
    </font>
    <font>
      <sz val="18"/>
      <name val="Arial"/>
      <family val="2"/>
    </font>
    <font>
      <sz val="18"/>
      <name val="Wingdings"/>
      <charset val="2"/>
    </font>
    <font>
      <b/>
      <sz val="12"/>
      <color rgb="FFFFFFFF"/>
      <name val="Calibri"/>
      <family val="2"/>
    </font>
    <font>
      <b/>
      <sz val="12"/>
      <color rgb="FF1D4D81"/>
      <name val="Arial"/>
      <family val="2"/>
    </font>
    <font>
      <sz val="12"/>
      <color rgb="FF1D4D81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2"/>
      <color theme="4" tint="-0.249977111117893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name val="Arial"/>
      <family val="2"/>
    </font>
    <font>
      <sz val="11"/>
      <name val="MS Reference Sans Serif"/>
      <family val="2"/>
    </font>
    <font>
      <b/>
      <sz val="11"/>
      <color theme="1"/>
      <name val="MS Reference Sans Serif"/>
      <family val="2"/>
    </font>
    <font>
      <b/>
      <sz val="11"/>
      <color rgb="FF000000"/>
      <name val="MS Reference Sans Serif"/>
      <family val="2"/>
    </font>
    <font>
      <b/>
      <sz val="11"/>
      <name val="MS Reference Sans Serif"/>
      <family val="2"/>
    </font>
    <font>
      <b/>
      <sz val="11"/>
      <color indexed="17"/>
      <name val="MS Reference Sans Serif"/>
      <family val="2"/>
    </font>
    <font>
      <b/>
      <sz val="11"/>
      <color theme="0"/>
      <name val="MS Reference Sans Serif"/>
      <family val="2"/>
    </font>
    <font>
      <b/>
      <sz val="18"/>
      <color theme="1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2"/>
      <color indexed="12"/>
      <name val="Calibri"/>
      <family val="2"/>
      <scheme val="minor"/>
    </font>
    <font>
      <b/>
      <sz val="8"/>
      <color rgb="FF000000"/>
      <name val="Tahoma"/>
      <family val="2"/>
    </font>
    <font>
      <b/>
      <sz val="18"/>
      <color theme="0"/>
      <name val="Calibri"/>
      <family val="2"/>
      <scheme val="minor"/>
    </font>
    <font>
      <sz val="11"/>
      <color rgb="FF1D4D81"/>
      <name val="Arial"/>
      <family val="2"/>
    </font>
    <font>
      <b/>
      <sz val="14"/>
      <color theme="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FFFF66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00009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theme="8"/>
      </patternFill>
    </fill>
  </fills>
  <borders count="2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rgb="FFB2B2B2"/>
      </right>
      <top/>
      <bottom/>
      <diagonal/>
    </border>
    <border>
      <left/>
      <right/>
      <top style="thin">
        <color rgb="FFB2B2B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03">
    <xf numFmtId="0" fontId="0" fillId="0" borderId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0" fillId="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12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4" fillId="15" borderId="1" applyBorder="0">
      <alignment horizontal="center"/>
    </xf>
    <xf numFmtId="171" fontId="3" fillId="0" borderId="0" applyFill="0" applyBorder="0" applyAlignment="0" applyProtection="0"/>
    <xf numFmtId="0" fontId="6" fillId="2" borderId="0" applyNumberFormat="0" applyBorder="0" applyAlignment="0" applyProtection="0"/>
    <xf numFmtId="166" fontId="7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0" fillId="0" borderId="0" applyFont="0" applyFill="0" applyBorder="0" applyAlignment="0" applyProtection="0"/>
    <xf numFmtId="174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3" fillId="0" borderId="0"/>
    <xf numFmtId="0" fontId="3" fillId="0" borderId="0"/>
    <xf numFmtId="0" fontId="8" fillId="0" borderId="0"/>
    <xf numFmtId="0" fontId="10" fillId="0" borderId="0"/>
    <xf numFmtId="0" fontId="3" fillId="16" borderId="10" applyNumberFormat="0" applyFont="0" applyAlignment="0" applyProtection="0"/>
    <xf numFmtId="0" fontId="3" fillId="16" borderId="10" applyNumberFormat="0" applyFont="0" applyAlignment="0" applyProtection="0"/>
    <xf numFmtId="0" fontId="10" fillId="16" borderId="10" applyNumberFormat="0" applyFont="0" applyAlignment="0" applyProtection="0"/>
    <xf numFmtId="0" fontId="3" fillId="16" borderId="10" applyNumberFormat="0" applyFont="0" applyAlignment="0" applyProtection="0"/>
    <xf numFmtId="0" fontId="3" fillId="16" borderId="10" applyNumberFormat="0" applyFont="0" applyAlignment="0" applyProtection="0"/>
    <xf numFmtId="0" fontId="3" fillId="16" borderId="10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1" fillId="13" borderId="0" applyNumberFormat="0" applyBorder="0" applyAlignment="0" applyProtection="0"/>
    <xf numFmtId="0" fontId="2" fillId="7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3" fillId="0" borderId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4" fillId="0" borderId="0"/>
    <xf numFmtId="0" fontId="34" fillId="16" borderId="10" applyNumberFormat="0" applyFont="0" applyAlignment="0" applyProtection="0"/>
    <xf numFmtId="9" fontId="34" fillId="0" borderId="0" applyFont="0" applyFill="0" applyBorder="0" applyAlignment="0" applyProtection="0"/>
    <xf numFmtId="0" fontId="11" fillId="13" borderId="0" applyNumberFormat="0" applyBorder="0" applyAlignment="0" applyProtection="0"/>
    <xf numFmtId="0" fontId="2" fillId="4" borderId="0" applyNumberFormat="0" applyBorder="0" applyAlignment="0" applyProtection="0"/>
    <xf numFmtId="0" fontId="12" fillId="13" borderId="0" applyNumberFormat="0" applyBorder="0" applyAlignment="0" applyProtection="0"/>
    <xf numFmtId="0" fontId="2" fillId="7" borderId="0" applyNumberFormat="0" applyBorder="0" applyAlignment="0" applyProtection="0"/>
    <xf numFmtId="0" fontId="34" fillId="16" borderId="10" applyNumberFormat="0" applyFont="0" applyAlignment="0" applyProtection="0"/>
    <xf numFmtId="0" fontId="2" fillId="9" borderId="0" applyNumberFormat="0" applyBorder="0" applyAlignment="0" applyProtection="0"/>
    <xf numFmtId="0" fontId="11" fillId="13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1" fillId="27" borderId="0" applyNumberFormat="0" applyBorder="0" applyAlignment="0" applyProtection="0"/>
  </cellStyleXfs>
  <cellXfs count="306">
    <xf numFmtId="0" fontId="0" fillId="0" borderId="0" xfId="0"/>
    <xf numFmtId="0" fontId="4" fillId="0" borderId="0" xfId="0" applyFont="1" applyAlignment="1">
      <alignment vertical="center"/>
    </xf>
    <xf numFmtId="0" fontId="24" fillId="18" borderId="3" xfId="53" applyFont="1" applyFill="1" applyBorder="1" applyAlignment="1">
      <alignment horizontal="left" vertical="center"/>
    </xf>
    <xf numFmtId="1" fontId="25" fillId="18" borderId="4" xfId="53" applyNumberFormat="1" applyFont="1" applyFill="1" applyBorder="1" applyAlignment="1">
      <alignment horizontal="centerContinuous" vertical="center"/>
    </xf>
    <xf numFmtId="0" fontId="26" fillId="0" borderId="0" xfId="53" applyFont="1" applyAlignment="1">
      <alignment vertical="center"/>
    </xf>
    <xf numFmtId="0" fontId="27" fillId="0" borderId="0" xfId="53" applyFont="1" applyAlignment="1">
      <alignment vertical="center"/>
    </xf>
    <xf numFmtId="168" fontId="28" fillId="3" borderId="0" xfId="44" applyNumberFormat="1" applyFont="1" applyFill="1" applyBorder="1" applyAlignment="1">
      <alignment horizontal="center" vertical="center"/>
    </xf>
    <xf numFmtId="0" fontId="28" fillId="3" borderId="0" xfId="53" applyFont="1" applyFill="1" applyAlignment="1">
      <alignment horizontal="center" vertical="center"/>
    </xf>
    <xf numFmtId="0" fontId="18" fillId="0" borderId="0" xfId="53" applyFont="1" applyAlignment="1">
      <alignment vertical="center"/>
    </xf>
    <xf numFmtId="0" fontId="15" fillId="6" borderId="6" xfId="51" applyFont="1" applyBorder="1" applyAlignment="1">
      <alignment horizontal="right" vertical="center"/>
    </xf>
    <xf numFmtId="169" fontId="15" fillId="6" borderId="7" xfId="44" applyNumberFormat="1" applyFont="1" applyFill="1" applyBorder="1" applyAlignment="1">
      <alignment vertical="center"/>
    </xf>
    <xf numFmtId="0" fontId="28" fillId="3" borderId="0" xfId="53" applyFont="1" applyFill="1" applyAlignment="1">
      <alignment vertical="center"/>
    </xf>
    <xf numFmtId="0" fontId="28" fillId="3" borderId="0" xfId="53" quotePrefix="1" applyFont="1" applyFill="1" applyAlignment="1">
      <alignment horizontal="center" vertical="center"/>
    </xf>
    <xf numFmtId="4" fontId="17" fillId="16" borderId="10" xfId="38" applyNumberFormat="1" applyFont="1" applyAlignment="1">
      <alignment vertical="center"/>
    </xf>
    <xf numFmtId="176" fontId="18" fillId="16" borderId="10" xfId="38" applyNumberFormat="1" applyFont="1" applyAlignment="1">
      <alignment vertical="center"/>
    </xf>
    <xf numFmtId="170" fontId="15" fillId="6" borderId="7" xfId="51" applyNumberFormat="1" applyFont="1" applyBorder="1" applyAlignment="1">
      <alignment vertical="center"/>
    </xf>
    <xf numFmtId="168" fontId="18" fillId="16" borderId="10" xfId="39" applyNumberFormat="1" applyFont="1" applyAlignment="1">
      <alignment horizontal="right" vertical="center"/>
    </xf>
    <xf numFmtId="170" fontId="21" fillId="16" borderId="10" xfId="38" applyNumberFormat="1" applyFont="1" applyAlignment="1">
      <alignment horizontal="center" vertical="center"/>
    </xf>
    <xf numFmtId="170" fontId="11" fillId="13" borderId="0" xfId="49" applyNumberFormat="1" applyBorder="1" applyAlignment="1">
      <alignment vertical="center"/>
    </xf>
    <xf numFmtId="169" fontId="11" fillId="13" borderId="0" xfId="49" applyNumberFormat="1" applyBorder="1" applyAlignment="1">
      <alignment horizontal="center" vertical="center"/>
    </xf>
    <xf numFmtId="0" fontId="17" fillId="0" borderId="0" xfId="0" applyFont="1" applyAlignment="1">
      <alignment vertical="center"/>
    </xf>
    <xf numFmtId="176" fontId="18" fillId="0" borderId="0" xfId="0" applyNumberFormat="1" applyFont="1" applyAlignment="1">
      <alignment vertical="center"/>
    </xf>
    <xf numFmtId="177" fontId="18" fillId="16" borderId="10" xfId="39" applyNumberFormat="1" applyFont="1" applyAlignment="1">
      <alignment horizontal="right" vertical="center"/>
    </xf>
    <xf numFmtId="0" fontId="11" fillId="13" borderId="0" xfId="49" applyBorder="1" applyAlignment="1">
      <alignment horizontal="center" vertical="center"/>
    </xf>
    <xf numFmtId="0" fontId="2" fillId="7" borderId="0" xfId="50" applyBorder="1" applyAlignment="1">
      <alignment horizontal="center" vertical="center"/>
    </xf>
    <xf numFmtId="2" fontId="2" fillId="7" borderId="0" xfId="50" applyNumberFormat="1" applyBorder="1" applyAlignment="1">
      <alignment horizontal="center" vertical="center"/>
    </xf>
    <xf numFmtId="169" fontId="2" fillId="7" borderId="0" xfId="50" applyNumberFormat="1" applyBorder="1" applyAlignment="1">
      <alignment horizontal="center" vertical="center"/>
    </xf>
    <xf numFmtId="167" fontId="2" fillId="7" borderId="0" xfId="50" applyNumberFormat="1" applyBorder="1" applyAlignment="1">
      <alignment horizontal="center" vertical="center"/>
    </xf>
    <xf numFmtId="0" fontId="17" fillId="16" borderId="10" xfId="38" applyFont="1" applyAlignment="1">
      <alignment vertical="center"/>
    </xf>
    <xf numFmtId="0" fontId="17" fillId="0" borderId="0" xfId="35" applyFont="1" applyAlignment="1">
      <alignment vertical="center"/>
    </xf>
    <xf numFmtId="176" fontId="18" fillId="0" borderId="0" xfId="35" applyNumberFormat="1" applyFont="1" applyAlignment="1">
      <alignment horizontal="right" vertical="center"/>
    </xf>
    <xf numFmtId="178" fontId="15" fillId="6" borderId="7" xfId="44" applyNumberFormat="1" applyFont="1" applyFill="1" applyBorder="1" applyAlignment="1">
      <alignment vertical="center"/>
    </xf>
    <xf numFmtId="170" fontId="17" fillId="16" borderId="10" xfId="38" applyNumberFormat="1" applyFont="1" applyAlignment="1">
      <alignment vertical="center"/>
    </xf>
    <xf numFmtId="0" fontId="18" fillId="0" borderId="0" xfId="35" applyFont="1" applyAlignment="1">
      <alignment horizontal="right" vertical="center"/>
    </xf>
    <xf numFmtId="0" fontId="15" fillId="6" borderId="8" xfId="51" applyFont="1" applyBorder="1" applyAlignment="1">
      <alignment horizontal="right" vertical="center"/>
    </xf>
    <xf numFmtId="0" fontId="15" fillId="6" borderId="9" xfId="51" applyFont="1" applyBorder="1" applyAlignment="1">
      <alignment vertical="center"/>
    </xf>
    <xf numFmtId="0" fontId="18" fillId="0" borderId="0" xfId="0" applyFont="1" applyAlignment="1">
      <alignment vertical="center"/>
    </xf>
    <xf numFmtId="0" fontId="17" fillId="0" borderId="0" xfId="35" applyFont="1" applyAlignment="1">
      <alignment horizontal="right" vertical="center"/>
    </xf>
    <xf numFmtId="0" fontId="15" fillId="9" borderId="0" xfId="52" applyFont="1" applyBorder="1" applyAlignment="1">
      <alignment vertical="center"/>
    </xf>
    <xf numFmtId="8" fontId="15" fillId="9" borderId="0" xfId="52" applyNumberFormat="1" applyFont="1" applyBorder="1" applyAlignment="1">
      <alignment horizontal="right" vertical="center"/>
    </xf>
    <xf numFmtId="0" fontId="15" fillId="7" borderId="6" xfId="50" applyFont="1" applyBorder="1" applyAlignment="1">
      <alignment horizontal="right" vertical="center"/>
    </xf>
    <xf numFmtId="0" fontId="15" fillId="7" borderId="7" xfId="50" applyFont="1" applyBorder="1" applyAlignment="1">
      <alignment horizontal="right" vertical="center"/>
    </xf>
    <xf numFmtId="169" fontId="18" fillId="0" borderId="0" xfId="0" applyNumberFormat="1" applyFont="1" applyAlignment="1">
      <alignment vertical="center"/>
    </xf>
    <xf numFmtId="0" fontId="13" fillId="13" borderId="0" xfId="49" applyFont="1" applyBorder="1" applyAlignment="1">
      <alignment vertical="center"/>
    </xf>
    <xf numFmtId="170" fontId="15" fillId="7" borderId="7" xfId="50" applyNumberFormat="1" applyFont="1" applyBorder="1" applyAlignment="1">
      <alignment horizontal="right" vertical="center"/>
    </xf>
    <xf numFmtId="168" fontId="13" fillId="13" borderId="0" xfId="44" applyNumberFormat="1" applyFont="1" applyFill="1" applyBorder="1" applyAlignment="1">
      <alignment horizontal="center" vertical="center"/>
    </xf>
    <xf numFmtId="0" fontId="13" fillId="10" borderId="0" xfId="12" applyFont="1" applyBorder="1" applyAlignment="1">
      <alignment vertical="center"/>
    </xf>
    <xf numFmtId="0" fontId="15" fillId="7" borderId="8" xfId="50" applyFont="1" applyBorder="1" applyAlignment="1">
      <alignment horizontal="right" vertical="center"/>
    </xf>
    <xf numFmtId="169" fontId="15" fillId="7" borderId="9" xfId="50" applyNumberFormat="1" applyFont="1" applyBorder="1" applyAlignment="1">
      <alignment horizontal="right" vertical="center"/>
    </xf>
    <xf numFmtId="7" fontId="13" fillId="13" borderId="0" xfId="49" applyNumberFormat="1" applyFont="1" applyBorder="1" applyAlignment="1">
      <alignment horizontal="center" vertical="center"/>
    </xf>
    <xf numFmtId="168" fontId="18" fillId="0" borderId="0" xfId="53" applyNumberFormat="1" applyFont="1" applyAlignment="1">
      <alignment vertical="center"/>
    </xf>
    <xf numFmtId="10" fontId="13" fillId="19" borderId="6" xfId="44" applyNumberFormat="1" applyFont="1" applyFill="1" applyBorder="1" applyAlignment="1">
      <alignment horizontal="right" vertical="center"/>
    </xf>
    <xf numFmtId="168" fontId="13" fillId="19" borderId="7" xfId="44" applyNumberFormat="1" applyFont="1" applyFill="1" applyBorder="1" applyAlignment="1">
      <alignment horizontal="right" vertical="center"/>
    </xf>
    <xf numFmtId="0" fontId="13" fillId="19" borderId="6" xfId="53" applyFont="1" applyFill="1" applyBorder="1" applyAlignment="1">
      <alignment horizontal="right" vertical="center"/>
    </xf>
    <xf numFmtId="179" fontId="13" fillId="19" borderId="7" xfId="53" applyNumberFormat="1" applyFont="1" applyFill="1" applyBorder="1" applyAlignment="1">
      <alignment horizontal="right" vertical="center"/>
    </xf>
    <xf numFmtId="167" fontId="13" fillId="19" borderId="7" xfId="53" applyNumberFormat="1" applyFont="1" applyFill="1" applyBorder="1" applyAlignment="1">
      <alignment horizontal="right" vertical="center"/>
    </xf>
    <xf numFmtId="180" fontId="13" fillId="19" borderId="7" xfId="53" applyNumberFormat="1" applyFont="1" applyFill="1" applyBorder="1" applyAlignment="1">
      <alignment horizontal="right" vertical="center"/>
    </xf>
    <xf numFmtId="0" fontId="13" fillId="19" borderId="8" xfId="53" applyFont="1" applyFill="1" applyBorder="1" applyAlignment="1">
      <alignment horizontal="right" vertical="center"/>
    </xf>
    <xf numFmtId="180" fontId="13" fillId="19" borderId="9" xfId="44" applyNumberFormat="1" applyFont="1" applyFill="1" applyBorder="1" applyAlignment="1">
      <alignment horizontal="right" vertical="center"/>
    </xf>
    <xf numFmtId="172" fontId="18" fillId="0" borderId="0" xfId="53" applyNumberFormat="1" applyFont="1" applyAlignment="1">
      <alignment vertical="center"/>
    </xf>
    <xf numFmtId="181" fontId="13" fillId="19" borderId="7" xfId="53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21" borderId="11" xfId="34" applyFont="1" applyFill="1" applyBorder="1" applyAlignment="1">
      <alignment horizontal="left" vertical="center"/>
    </xf>
    <xf numFmtId="168" fontId="4" fillId="21" borderId="12" xfId="45" applyNumberFormat="1" applyFont="1" applyFill="1" applyBorder="1" applyAlignment="1">
      <alignment horizontal="center" vertical="center"/>
    </xf>
    <xf numFmtId="182" fontId="4" fillId="21" borderId="12" xfId="34" applyNumberFormat="1" applyFont="1" applyFill="1" applyBorder="1" applyAlignment="1">
      <alignment vertical="center"/>
    </xf>
    <xf numFmtId="0" fontId="4" fillId="21" borderId="12" xfId="34" applyFont="1" applyFill="1" applyBorder="1" applyAlignment="1">
      <alignment vertical="center"/>
    </xf>
    <xf numFmtId="168" fontId="4" fillId="21" borderId="11" xfId="45" applyNumberFormat="1" applyFont="1" applyFill="1" applyBorder="1" applyAlignment="1">
      <alignment horizontal="center" vertical="center"/>
    </xf>
    <xf numFmtId="0" fontId="35" fillId="0" borderId="0" xfId="188" applyFont="1" applyAlignment="1">
      <alignment vertical="center"/>
    </xf>
    <xf numFmtId="0" fontId="35" fillId="0" borderId="0" xfId="0" applyFont="1" applyAlignment="1">
      <alignment vertical="center"/>
    </xf>
    <xf numFmtId="4" fontId="35" fillId="16" borderId="10" xfId="189" applyNumberFormat="1" applyFont="1" applyAlignment="1">
      <alignment vertical="center"/>
    </xf>
    <xf numFmtId="176" fontId="35" fillId="16" borderId="10" xfId="189" applyNumberFormat="1" applyFont="1" applyAlignment="1">
      <alignment vertical="center"/>
    </xf>
    <xf numFmtId="10" fontId="35" fillId="16" borderId="10" xfId="189" applyNumberFormat="1" applyFont="1" applyAlignment="1">
      <alignment vertical="center"/>
    </xf>
    <xf numFmtId="170" fontId="35" fillId="16" borderId="10" xfId="189" applyNumberFormat="1" applyFont="1" applyAlignment="1">
      <alignment vertical="center"/>
    </xf>
    <xf numFmtId="0" fontId="35" fillId="16" borderId="10" xfId="189" applyFont="1" applyAlignment="1">
      <alignment vertical="center"/>
    </xf>
    <xf numFmtId="176" fontId="35" fillId="0" borderId="0" xfId="188" applyNumberFormat="1" applyFont="1" applyAlignment="1">
      <alignment vertical="center"/>
    </xf>
    <xf numFmtId="170" fontId="35" fillId="0" borderId="0" xfId="188" applyNumberFormat="1" applyFont="1" applyAlignment="1">
      <alignment vertical="center"/>
    </xf>
    <xf numFmtId="0" fontId="35" fillId="0" borderId="0" xfId="53" applyFont="1" applyAlignment="1">
      <alignment vertical="center"/>
    </xf>
    <xf numFmtId="0" fontId="35" fillId="0" borderId="0" xfId="188" applyFont="1" applyAlignment="1">
      <alignment horizontal="left" vertical="center" indent="1"/>
    </xf>
    <xf numFmtId="0" fontId="38" fillId="20" borderId="0" xfId="0" applyFont="1" applyFill="1"/>
    <xf numFmtId="0" fontId="38" fillId="20" borderId="0" xfId="0" applyFont="1" applyFill="1" applyAlignment="1">
      <alignment horizontal="center"/>
    </xf>
    <xf numFmtId="167" fontId="35" fillId="0" borderId="0" xfId="188" applyNumberFormat="1" applyFont="1" applyAlignment="1">
      <alignment vertical="center"/>
    </xf>
    <xf numFmtId="168" fontId="35" fillId="0" borderId="0" xfId="190" applyNumberFormat="1" applyFont="1" applyAlignment="1">
      <alignment vertical="center"/>
    </xf>
    <xf numFmtId="10" fontId="35" fillId="0" borderId="0" xfId="190" applyNumberFormat="1" applyFont="1" applyAlignment="1">
      <alignment vertical="center"/>
    </xf>
    <xf numFmtId="0" fontId="11" fillId="13" borderId="0" xfId="49" applyAlignment="1">
      <alignment vertical="center"/>
    </xf>
    <xf numFmtId="175" fontId="11" fillId="13" borderId="0" xfId="49" applyNumberFormat="1" applyAlignment="1">
      <alignment vertical="center"/>
    </xf>
    <xf numFmtId="0" fontId="16" fillId="4" borderId="0" xfId="192" applyFont="1" applyBorder="1" applyAlignment="1">
      <alignment horizontal="center" vertical="center"/>
    </xf>
    <xf numFmtId="0" fontId="19" fillId="10" borderId="0" xfId="13" applyFont="1" applyBorder="1" applyAlignment="1">
      <alignment horizontal="center" vertical="center"/>
    </xf>
    <xf numFmtId="0" fontId="19" fillId="22" borderId="16" xfId="193" applyFont="1" applyFill="1" applyBorder="1" applyAlignment="1">
      <alignment horizontal="center" vertical="center"/>
    </xf>
    <xf numFmtId="0" fontId="19" fillId="22" borderId="17" xfId="193" applyFont="1" applyFill="1" applyBorder="1" applyAlignment="1">
      <alignment horizontal="center" vertical="center"/>
    </xf>
    <xf numFmtId="0" fontId="41" fillId="0" borderId="0" xfId="0" applyFont="1"/>
    <xf numFmtId="0" fontId="42" fillId="0" borderId="0" xfId="0" applyFont="1"/>
    <xf numFmtId="0" fontId="1" fillId="7" borderId="0" xfId="194" applyFont="1" applyBorder="1" applyAlignment="1">
      <alignment horizontal="center" vertical="center"/>
    </xf>
    <xf numFmtId="10" fontId="1" fillId="4" borderId="0" xfId="192" applyNumberFormat="1" applyFont="1" applyBorder="1" applyAlignment="1">
      <alignment horizontal="center" vertical="center"/>
    </xf>
    <xf numFmtId="183" fontId="1" fillId="4" borderId="0" xfId="192" applyNumberFormat="1" applyFont="1" applyBorder="1" applyAlignment="1">
      <alignment horizontal="center" vertical="center"/>
    </xf>
    <xf numFmtId="167" fontId="20" fillId="10" borderId="0" xfId="13" applyNumberFormat="1" applyFont="1" applyBorder="1" applyAlignment="1">
      <alignment horizontal="center" vertical="center" wrapText="1"/>
    </xf>
    <xf numFmtId="167" fontId="1" fillId="17" borderId="16" xfId="192" applyNumberFormat="1" applyFont="1" applyFill="1" applyBorder="1" applyAlignment="1">
      <alignment horizontal="center" vertical="center"/>
    </xf>
    <xf numFmtId="167" fontId="1" fillId="17" borderId="17" xfId="192" applyNumberFormat="1" applyFont="1" applyFill="1" applyBorder="1" applyAlignment="1">
      <alignment horizontal="center" vertical="center"/>
    </xf>
    <xf numFmtId="167" fontId="20" fillId="22" borderId="16" xfId="193" applyNumberFormat="1" applyFont="1" applyFill="1" applyBorder="1" applyAlignment="1">
      <alignment horizontal="center" vertical="center"/>
    </xf>
    <xf numFmtId="167" fontId="20" fillId="22" borderId="17" xfId="193" applyNumberFormat="1" applyFont="1" applyFill="1" applyBorder="1" applyAlignment="1">
      <alignment horizontal="center" vertical="center"/>
    </xf>
    <xf numFmtId="0" fontId="44" fillId="0" borderId="0" xfId="0" applyFont="1"/>
    <xf numFmtId="177" fontId="1" fillId="4" borderId="0" xfId="192" applyNumberFormat="1" applyFont="1" applyBorder="1" applyAlignment="1">
      <alignment horizontal="center" vertical="center"/>
    </xf>
    <xf numFmtId="2" fontId="1" fillId="17" borderId="14" xfId="192" applyNumberFormat="1" applyFont="1" applyFill="1" applyBorder="1" applyAlignment="1">
      <alignment horizontal="center" vertical="center"/>
    </xf>
    <xf numFmtId="167" fontId="1" fillId="17" borderId="15" xfId="192" applyNumberFormat="1" applyFont="1" applyFill="1" applyBorder="1" applyAlignment="1">
      <alignment horizontal="center" vertical="center"/>
    </xf>
    <xf numFmtId="2" fontId="20" fillId="22" borderId="14" xfId="193" applyNumberFormat="1" applyFont="1" applyFill="1" applyBorder="1" applyAlignment="1">
      <alignment horizontal="center" vertical="center"/>
    </xf>
    <xf numFmtId="167" fontId="20" fillId="22" borderId="15" xfId="193" applyNumberFormat="1" applyFont="1" applyFill="1" applyBorder="1" applyAlignment="1">
      <alignment horizontal="center" vertical="center"/>
    </xf>
    <xf numFmtId="173" fontId="1" fillId="17" borderId="15" xfId="192" applyNumberFormat="1" applyFont="1" applyFill="1" applyBorder="1" applyAlignment="1">
      <alignment horizontal="center" vertical="center"/>
    </xf>
    <xf numFmtId="173" fontId="20" fillId="22" borderId="15" xfId="193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84" fontId="35" fillId="16" borderId="10" xfId="189" applyNumberFormat="1" applyFont="1" applyAlignment="1">
      <alignment vertical="center"/>
    </xf>
    <xf numFmtId="185" fontId="35" fillId="16" borderId="10" xfId="189" applyNumberFormat="1" applyFont="1" applyAlignment="1">
      <alignment vertical="center"/>
    </xf>
    <xf numFmtId="186" fontId="35" fillId="0" borderId="0" xfId="190" applyNumberFormat="1" applyFont="1" applyAlignment="1">
      <alignment vertical="center"/>
    </xf>
    <xf numFmtId="0" fontId="22" fillId="13" borderId="0" xfId="193" applyFont="1" applyBorder="1" applyAlignment="1">
      <alignment horizontal="center" vertical="center"/>
    </xf>
    <xf numFmtId="0" fontId="48" fillId="0" borderId="0" xfId="0" applyFont="1" applyAlignment="1">
      <alignment horizontal="justify" vertical="center" readingOrder="1"/>
    </xf>
    <xf numFmtId="184" fontId="13" fillId="13" borderId="0" xfId="44" applyNumberFormat="1" applyFont="1" applyFill="1" applyBorder="1" applyAlignment="1">
      <alignment horizontal="center" vertical="center"/>
    </xf>
    <xf numFmtId="169" fontId="18" fillId="16" borderId="10" xfId="48" applyNumberFormat="1" applyFont="1" applyFill="1" applyBorder="1" applyAlignment="1">
      <alignment vertical="center"/>
    </xf>
    <xf numFmtId="187" fontId="35" fillId="16" borderId="10" xfId="189" applyNumberFormat="1" applyFont="1" applyAlignment="1">
      <alignment vertical="center"/>
    </xf>
    <xf numFmtId="0" fontId="49" fillId="23" borderId="0" xfId="0" applyFont="1" applyFill="1" applyAlignment="1">
      <alignment horizontal="left" vertical="center" wrapText="1" readingOrder="1"/>
    </xf>
    <xf numFmtId="0" fontId="50" fillId="0" borderId="18" xfId="0" applyFont="1" applyBorder="1" applyAlignment="1">
      <alignment horizontal="left" vertical="center" wrapText="1" readingOrder="1"/>
    </xf>
    <xf numFmtId="0" fontId="51" fillId="24" borderId="10" xfId="0" applyFont="1" applyFill="1" applyBorder="1" applyAlignment="1">
      <alignment horizontal="center" vertical="center" wrapText="1" readingOrder="1"/>
    </xf>
    <xf numFmtId="0" fontId="50" fillId="0" borderId="0" xfId="0" applyFont="1" applyAlignment="1">
      <alignment horizontal="left" vertical="center" wrapText="1" readingOrder="1"/>
    </xf>
    <xf numFmtId="0" fontId="51" fillId="0" borderId="19" xfId="0" applyFont="1" applyBorder="1" applyAlignment="1">
      <alignment horizontal="center" vertical="center" wrapText="1" readingOrder="1"/>
    </xf>
    <xf numFmtId="10" fontId="51" fillId="24" borderId="10" xfId="0" applyNumberFormat="1" applyFont="1" applyFill="1" applyBorder="1" applyAlignment="1">
      <alignment horizontal="center" vertical="center" wrapText="1" readingOrder="1"/>
    </xf>
    <xf numFmtId="0" fontId="47" fillId="23" borderId="0" xfId="0" applyFont="1" applyFill="1" applyAlignment="1">
      <alignment vertical="center" wrapText="1"/>
    </xf>
    <xf numFmtId="16" fontId="49" fillId="23" borderId="13" xfId="0" quotePrefix="1" applyNumberFormat="1" applyFont="1" applyFill="1" applyBorder="1" applyAlignment="1">
      <alignment horizontal="center" vertical="center" wrapText="1" readingOrder="1"/>
    </xf>
    <xf numFmtId="14" fontId="51" fillId="24" borderId="10" xfId="0" applyNumberFormat="1" applyFont="1" applyFill="1" applyBorder="1" applyAlignment="1">
      <alignment horizontal="center" vertical="center" wrapText="1" readingOrder="1"/>
    </xf>
    <xf numFmtId="14" fontId="51" fillId="0" borderId="19" xfId="0" applyNumberFormat="1" applyFont="1" applyBorder="1" applyAlignment="1">
      <alignment horizontal="center" vertical="center" wrapText="1" readingOrder="1"/>
    </xf>
    <xf numFmtId="14" fontId="51" fillId="0" borderId="0" xfId="0" applyNumberFormat="1" applyFont="1" applyAlignment="1">
      <alignment horizontal="center" vertical="center" wrapText="1" readingOrder="1"/>
    </xf>
    <xf numFmtId="14" fontId="51" fillId="0" borderId="13" xfId="0" applyNumberFormat="1" applyFont="1" applyBorder="1" applyAlignment="1">
      <alignment horizontal="center" vertical="center" wrapText="1" readingOrder="1"/>
    </xf>
    <xf numFmtId="187" fontId="47" fillId="23" borderId="0" xfId="44" applyNumberFormat="1" applyFont="1" applyFill="1" applyAlignment="1">
      <alignment horizontal="center" vertical="center" wrapText="1"/>
    </xf>
    <xf numFmtId="0" fontId="3" fillId="0" borderId="0" xfId="34"/>
    <xf numFmtId="188" fontId="3" fillId="0" borderId="0" xfId="34" applyNumberFormat="1"/>
    <xf numFmtId="9" fontId="0" fillId="0" borderId="0" xfId="44" applyFont="1"/>
    <xf numFmtId="168" fontId="3" fillId="0" borderId="0" xfId="34" applyNumberFormat="1"/>
    <xf numFmtId="10" fontId="3" fillId="0" borderId="0" xfId="34" applyNumberFormat="1"/>
    <xf numFmtId="168" fontId="0" fillId="0" borderId="0" xfId="44" applyNumberFormat="1" applyFont="1"/>
    <xf numFmtId="176" fontId="52" fillId="25" borderId="0" xfId="34" applyNumberFormat="1" applyFont="1" applyFill="1"/>
    <xf numFmtId="168" fontId="53" fillId="0" borderId="0" xfId="34" applyNumberFormat="1" applyFont="1"/>
    <xf numFmtId="168" fontId="53" fillId="0" borderId="0" xfId="44" applyNumberFormat="1" applyFont="1"/>
    <xf numFmtId="14" fontId="3" fillId="0" borderId="0" xfId="34" applyNumberFormat="1"/>
    <xf numFmtId="0" fontId="54" fillId="0" borderId="0" xfId="33" applyFont="1"/>
    <xf numFmtId="187" fontId="54" fillId="0" borderId="0" xfId="45" applyNumberFormat="1" applyFont="1"/>
    <xf numFmtId="168" fontId="55" fillId="0" borderId="0" xfId="33" applyNumberFormat="1" applyFont="1" applyAlignment="1">
      <alignment horizontal="center" vertical="center"/>
    </xf>
    <xf numFmtId="168" fontId="56" fillId="0" borderId="0" xfId="33" applyNumberFormat="1" applyFont="1" applyAlignment="1">
      <alignment horizontal="center" vertical="center"/>
    </xf>
    <xf numFmtId="168" fontId="55" fillId="0" borderId="0" xfId="45" applyNumberFormat="1" applyFont="1" applyAlignment="1">
      <alignment horizontal="center" vertical="center"/>
    </xf>
    <xf numFmtId="168" fontId="54" fillId="0" borderId="0" xfId="45" applyNumberFormat="1" applyFont="1" applyAlignment="1">
      <alignment horizontal="center" vertical="center"/>
    </xf>
    <xf numFmtId="168" fontId="56" fillId="0" borderId="0" xfId="45" applyNumberFormat="1" applyFont="1" applyAlignment="1">
      <alignment horizontal="center" vertical="center"/>
    </xf>
    <xf numFmtId="168" fontId="56" fillId="0" borderId="0" xfId="45" applyNumberFormat="1" applyFont="1" applyAlignment="1">
      <alignment horizontal="right" vertical="center"/>
    </xf>
    <xf numFmtId="0" fontId="56" fillId="0" borderId="0" xfId="33" applyFont="1" applyAlignment="1">
      <alignment horizontal="center" vertical="center"/>
    </xf>
    <xf numFmtId="9" fontId="55" fillId="0" borderId="0" xfId="33" applyNumberFormat="1" applyFont="1" applyAlignment="1">
      <alignment horizontal="center" vertical="center"/>
    </xf>
    <xf numFmtId="9" fontId="56" fillId="0" borderId="0" xfId="33" applyNumberFormat="1" applyFont="1" applyAlignment="1">
      <alignment horizontal="center" vertical="center"/>
    </xf>
    <xf numFmtId="10" fontId="55" fillId="0" borderId="0" xfId="33" applyNumberFormat="1" applyFont="1" applyAlignment="1">
      <alignment horizontal="center" vertical="center"/>
    </xf>
    <xf numFmtId="183" fontId="57" fillId="9" borderId="0" xfId="196" applyNumberFormat="1" applyFont="1"/>
    <xf numFmtId="0" fontId="58" fillId="13" borderId="0" xfId="197" applyFont="1" applyAlignment="1">
      <alignment vertical="center"/>
    </xf>
    <xf numFmtId="0" fontId="54" fillId="0" borderId="0" xfId="33" applyFont="1" applyAlignment="1">
      <alignment horizontal="center" vertical="center"/>
    </xf>
    <xf numFmtId="189" fontId="54" fillId="0" borderId="0" xfId="28" applyNumberFormat="1" applyFont="1"/>
    <xf numFmtId="0" fontId="59" fillId="0" borderId="0" xfId="33" applyFont="1"/>
    <xf numFmtId="10" fontId="54" fillId="0" borderId="0" xfId="33" applyNumberFormat="1" applyFont="1"/>
    <xf numFmtId="10" fontId="59" fillId="0" borderId="0" xfId="33" applyNumberFormat="1" applyFont="1"/>
    <xf numFmtId="0" fontId="60" fillId="0" borderId="0" xfId="34" applyFont="1" applyAlignment="1">
      <alignment vertical="center"/>
    </xf>
    <xf numFmtId="167" fontId="61" fillId="9" borderId="2" xfId="196" applyNumberFormat="1" applyFont="1" applyBorder="1" applyAlignment="1">
      <alignment horizontal="center" vertical="center"/>
    </xf>
    <xf numFmtId="167" fontId="62" fillId="26" borderId="2" xfId="34" applyNumberFormat="1" applyFont="1" applyFill="1" applyBorder="1" applyAlignment="1">
      <alignment horizontal="center" vertical="center"/>
    </xf>
    <xf numFmtId="0" fontId="60" fillId="0" borderId="0" xfId="34" applyFont="1" applyAlignment="1">
      <alignment horizontal="center" vertical="center"/>
    </xf>
    <xf numFmtId="169" fontId="60" fillId="0" borderId="2" xfId="34" applyNumberFormat="1" applyFont="1" applyBorder="1" applyAlignment="1">
      <alignment horizontal="center" vertical="center"/>
    </xf>
    <xf numFmtId="168" fontId="60" fillId="0" borderId="2" xfId="45" applyNumberFormat="1" applyFont="1" applyBorder="1" applyAlignment="1">
      <alignment horizontal="center" vertical="center"/>
    </xf>
    <xf numFmtId="167" fontId="60" fillId="0" borderId="2" xfId="34" applyNumberFormat="1" applyFont="1" applyBorder="1" applyAlignment="1">
      <alignment horizontal="center" vertical="center"/>
    </xf>
    <xf numFmtId="3" fontId="60" fillId="0" borderId="2" xfId="34" applyNumberFormat="1" applyFont="1" applyBorder="1" applyAlignment="1">
      <alignment horizontal="center" vertical="center"/>
    </xf>
    <xf numFmtId="10" fontId="60" fillId="0" borderId="2" xfId="34" applyNumberFormat="1" applyFont="1" applyBorder="1" applyAlignment="1">
      <alignment horizontal="center" vertical="center"/>
    </xf>
    <xf numFmtId="170" fontId="60" fillId="0" borderId="2" xfId="34" applyNumberFormat="1" applyFont="1" applyBorder="1" applyAlignment="1">
      <alignment horizontal="right" vertical="center"/>
    </xf>
    <xf numFmtId="170" fontId="60" fillId="0" borderId="2" xfId="34" applyNumberFormat="1" applyFont="1" applyBorder="1" applyAlignment="1">
      <alignment horizontal="center" vertical="center"/>
    </xf>
    <xf numFmtId="168" fontId="60" fillId="0" borderId="5" xfId="34" applyNumberFormat="1" applyFont="1" applyBorder="1" applyAlignment="1">
      <alignment horizontal="center" vertical="center"/>
    </xf>
    <xf numFmtId="168" fontId="60" fillId="0" borderId="20" xfId="34" applyNumberFormat="1" applyFont="1" applyBorder="1" applyAlignment="1">
      <alignment horizontal="center" vertical="center"/>
    </xf>
    <xf numFmtId="0" fontId="63" fillId="0" borderId="2" xfId="34" applyFont="1" applyBorder="1" applyAlignment="1">
      <alignment horizontal="center" vertical="center"/>
    </xf>
    <xf numFmtId="0" fontId="63" fillId="0" borderId="20" xfId="34" applyFont="1" applyBorder="1" applyAlignment="1">
      <alignment horizontal="center" vertical="center"/>
    </xf>
    <xf numFmtId="168" fontId="60" fillId="0" borderId="0" xfId="45" applyNumberFormat="1" applyFont="1" applyBorder="1" applyAlignment="1">
      <alignment horizontal="center" vertical="center"/>
    </xf>
    <xf numFmtId="168" fontId="63" fillId="0" borderId="2" xfId="45" applyNumberFormat="1" applyFont="1" applyBorder="1" applyAlignment="1">
      <alignment horizontal="center" vertical="center"/>
    </xf>
    <xf numFmtId="0" fontId="60" fillId="0" borderId="2" xfId="34" applyFont="1" applyBorder="1" applyAlignment="1">
      <alignment horizontal="left" vertical="center"/>
    </xf>
    <xf numFmtId="170" fontId="61" fillId="16" borderId="2" xfId="39" applyNumberFormat="1" applyFont="1" applyBorder="1" applyAlignment="1">
      <alignment horizontal="center" vertical="center"/>
    </xf>
    <xf numFmtId="168" fontId="61" fillId="16" borderId="2" xfId="39" applyNumberFormat="1" applyFont="1" applyBorder="1" applyAlignment="1">
      <alignment horizontal="center" vertical="center"/>
    </xf>
    <xf numFmtId="0" fontId="64" fillId="0" borderId="0" xfId="34" applyFont="1" applyAlignment="1">
      <alignment horizontal="center" vertical="center"/>
    </xf>
    <xf numFmtId="169" fontId="60" fillId="0" borderId="0" xfId="34" applyNumberFormat="1" applyFont="1" applyAlignment="1">
      <alignment vertical="center"/>
    </xf>
    <xf numFmtId="168" fontId="60" fillId="0" borderId="0" xfId="45" applyNumberFormat="1" applyFont="1" applyBorder="1" applyAlignment="1">
      <alignment vertical="center"/>
    </xf>
    <xf numFmtId="167" fontId="60" fillId="0" borderId="0" xfId="34" applyNumberFormat="1" applyFont="1" applyAlignment="1">
      <alignment vertical="center"/>
    </xf>
    <xf numFmtId="3" fontId="60" fillId="0" borderId="0" xfId="34" applyNumberFormat="1" applyFont="1" applyAlignment="1">
      <alignment vertical="center"/>
    </xf>
    <xf numFmtId="10" fontId="60" fillId="0" borderId="0" xfId="34" applyNumberFormat="1" applyFont="1" applyAlignment="1">
      <alignment vertical="center"/>
    </xf>
    <xf numFmtId="170" fontId="60" fillId="0" borderId="0" xfId="34" applyNumberFormat="1" applyFont="1" applyAlignment="1">
      <alignment vertical="center"/>
    </xf>
    <xf numFmtId="0" fontId="60" fillId="0" borderId="2" xfId="34" applyFont="1" applyBorder="1" applyAlignment="1">
      <alignment horizontal="center" vertical="center"/>
    </xf>
    <xf numFmtId="168" fontId="60" fillId="0" borderId="2" xfId="34" applyNumberFormat="1" applyFont="1" applyBorder="1" applyAlignment="1">
      <alignment horizontal="center" vertical="center"/>
    </xf>
    <xf numFmtId="169" fontId="60" fillId="0" borderId="2" xfId="34" applyNumberFormat="1" applyFont="1" applyBorder="1" applyAlignment="1">
      <alignment vertical="center"/>
    </xf>
    <xf numFmtId="168" fontId="60" fillId="0" borderId="2" xfId="45" applyNumberFormat="1" applyFont="1" applyBorder="1" applyAlignment="1">
      <alignment vertical="center"/>
    </xf>
    <xf numFmtId="167" fontId="60" fillId="0" borderId="2" xfId="34" applyNumberFormat="1" applyFont="1" applyBorder="1" applyAlignment="1">
      <alignment vertical="center"/>
    </xf>
    <xf numFmtId="3" fontId="60" fillId="0" borderId="2" xfId="34" applyNumberFormat="1" applyFont="1" applyBorder="1" applyAlignment="1">
      <alignment vertical="center"/>
    </xf>
    <xf numFmtId="10" fontId="60" fillId="0" borderId="2" xfId="34" applyNumberFormat="1" applyFont="1" applyBorder="1" applyAlignment="1">
      <alignment vertical="center"/>
    </xf>
    <xf numFmtId="170" fontId="60" fillId="0" borderId="2" xfId="34" applyNumberFormat="1" applyFont="1" applyBorder="1" applyAlignment="1">
      <alignment vertical="center"/>
    </xf>
    <xf numFmtId="168" fontId="60" fillId="0" borderId="20" xfId="34" applyNumberFormat="1" applyFont="1" applyBorder="1" applyAlignment="1">
      <alignment vertical="center"/>
    </xf>
    <xf numFmtId="168" fontId="60" fillId="0" borderId="21" xfId="34" applyNumberFormat="1" applyFont="1" applyBorder="1" applyAlignment="1">
      <alignment horizontal="center" vertical="center"/>
    </xf>
    <xf numFmtId="0" fontId="61" fillId="9" borderId="0" xfId="196" applyFont="1" applyBorder="1" applyAlignment="1">
      <alignment vertical="center"/>
    </xf>
    <xf numFmtId="0" fontId="3" fillId="0" borderId="0" xfId="34" applyAlignment="1">
      <alignment vertical="center"/>
    </xf>
    <xf numFmtId="14" fontId="61" fillId="9" borderId="0" xfId="196" applyNumberFormat="1" applyFont="1" applyBorder="1" applyAlignment="1">
      <alignment horizontal="center" vertical="center"/>
    </xf>
    <xf numFmtId="0" fontId="40" fillId="0" borderId="0" xfId="34" applyFont="1" applyAlignment="1">
      <alignment horizontal="center"/>
    </xf>
    <xf numFmtId="0" fontId="20" fillId="0" borderId="0" xfId="34" applyFont="1" applyAlignment="1">
      <alignment horizontal="center" vertical="center"/>
    </xf>
    <xf numFmtId="0" fontId="20" fillId="0" borderId="0" xfId="34" applyFont="1" applyAlignment="1">
      <alignment horizontal="center"/>
    </xf>
    <xf numFmtId="0" fontId="19" fillId="3" borderId="0" xfId="34" applyFont="1" applyFill="1" applyAlignment="1">
      <alignment horizontal="center" vertical="center"/>
    </xf>
    <xf numFmtId="0" fontId="19" fillId="17" borderId="16" xfId="34" applyFont="1" applyFill="1" applyBorder="1" applyAlignment="1">
      <alignment horizontal="center" vertical="center"/>
    </xf>
    <xf numFmtId="0" fontId="19" fillId="17" borderId="17" xfId="34" applyFont="1" applyFill="1" applyBorder="1" applyAlignment="1">
      <alignment horizontal="center" vertical="center"/>
    </xf>
    <xf numFmtId="6" fontId="43" fillId="16" borderId="0" xfId="39" applyNumberFormat="1" applyFont="1" applyBorder="1" applyAlignment="1">
      <alignment horizontal="right" vertical="center"/>
    </xf>
    <xf numFmtId="10" fontId="20" fillId="3" borderId="0" xfId="45" applyNumberFormat="1" applyFont="1" applyFill="1" applyBorder="1" applyAlignment="1">
      <alignment horizontal="center" vertical="center"/>
    </xf>
    <xf numFmtId="177" fontId="20" fillId="3" borderId="0" xfId="34" applyNumberFormat="1" applyFont="1" applyFill="1" applyAlignment="1">
      <alignment horizontal="center" vertical="center"/>
    </xf>
    <xf numFmtId="0" fontId="18" fillId="0" borderId="0" xfId="34" applyFont="1" applyAlignment="1">
      <alignment horizontal="center"/>
    </xf>
    <xf numFmtId="0" fontId="18" fillId="0" borderId="0" xfId="34" applyFont="1" applyAlignment="1">
      <alignment horizontal="left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188" fontId="0" fillId="0" borderId="24" xfId="0" applyNumberFormat="1" applyBorder="1" applyAlignment="1">
      <alignment vertical="center"/>
    </xf>
    <xf numFmtId="0" fontId="0" fillId="0" borderId="24" xfId="0" applyBorder="1" applyAlignment="1">
      <alignment vertical="center"/>
    </xf>
    <xf numFmtId="8" fontId="67" fillId="25" borderId="2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horizontal="center" vertical="center"/>
    </xf>
    <xf numFmtId="0" fontId="53" fillId="0" borderId="6" xfId="0" applyFont="1" applyBorder="1" applyAlignment="1">
      <alignment horizontal="center" vertical="center"/>
    </xf>
    <xf numFmtId="0" fontId="53" fillId="0" borderId="7" xfId="0" applyFont="1" applyBorder="1" applyAlignment="1">
      <alignment horizontal="center" vertical="center"/>
    </xf>
    <xf numFmtId="0" fontId="53" fillId="0" borderId="20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8" fontId="68" fillId="25" borderId="6" xfId="0" applyNumberFormat="1" applyFont="1" applyFill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70" fontId="0" fillId="0" borderId="7" xfId="0" applyNumberFormat="1" applyBorder="1" applyAlignment="1">
      <alignment horizontal="center" vertical="center"/>
    </xf>
    <xf numFmtId="168" fontId="0" fillId="0" borderId="5" xfId="0" applyNumberFormat="1" applyBorder="1" applyAlignment="1">
      <alignment horizontal="center" vertical="center"/>
    </xf>
    <xf numFmtId="190" fontId="18" fillId="3" borderId="5" xfId="0" applyNumberFormat="1" applyFont="1" applyFill="1" applyBorder="1" applyAlignment="1">
      <alignment horizontal="center" vertical="center"/>
    </xf>
    <xf numFmtId="191" fontId="0" fillId="0" borderId="5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70" fontId="0" fillId="0" borderId="9" xfId="0" applyNumberFormat="1" applyBorder="1" applyAlignment="1">
      <alignment horizontal="center" vertical="center"/>
    </xf>
    <xf numFmtId="168" fontId="0" fillId="0" borderId="21" xfId="0" applyNumberFormat="1" applyBorder="1" applyAlignment="1">
      <alignment horizontal="center" vertical="center"/>
    </xf>
    <xf numFmtId="190" fontId="18" fillId="3" borderId="21" xfId="0" applyNumberFormat="1" applyFont="1" applyFill="1" applyBorder="1" applyAlignment="1">
      <alignment horizontal="center" vertical="center"/>
    </xf>
    <xf numFmtId="191" fontId="0" fillId="0" borderId="21" xfId="0" applyNumberFormat="1" applyBorder="1" applyAlignment="1">
      <alignment horizontal="center" vertical="center"/>
    </xf>
    <xf numFmtId="0" fontId="13" fillId="13" borderId="6" xfId="19" applyFont="1" applyBorder="1" applyAlignment="1">
      <alignment vertical="center"/>
    </xf>
    <xf numFmtId="0" fontId="11" fillId="13" borderId="0" xfId="19" applyBorder="1" applyAlignment="1">
      <alignment horizontal="center" vertical="center"/>
    </xf>
    <xf numFmtId="167" fontId="11" fillId="13" borderId="0" xfId="19" applyNumberFormat="1" applyBorder="1" applyAlignment="1">
      <alignment horizontal="center" vertical="center"/>
    </xf>
    <xf numFmtId="0" fontId="13" fillId="13" borderId="8" xfId="19" applyFont="1" applyBorder="1" applyAlignment="1">
      <alignment vertical="center"/>
    </xf>
    <xf numFmtId="0" fontId="11" fillId="13" borderId="25" xfId="19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168" fontId="67" fillId="25" borderId="5" xfId="44" applyNumberFormat="1" applyFont="1" applyFill="1" applyBorder="1" applyAlignment="1">
      <alignment horizontal="center" vertical="center"/>
    </xf>
    <xf numFmtId="168" fontId="67" fillId="25" borderId="21" xfId="44" applyNumberFormat="1" applyFont="1" applyFill="1" applyBorder="1" applyAlignment="1">
      <alignment horizontal="center" vertical="center"/>
    </xf>
    <xf numFmtId="0" fontId="53" fillId="0" borderId="0" xfId="0" applyFont="1" applyAlignment="1">
      <alignment horizontal="right" vertical="center"/>
    </xf>
    <xf numFmtId="10" fontId="53" fillId="0" borderId="6" xfId="0" applyNumberFormat="1" applyFont="1" applyBorder="1" applyAlignment="1">
      <alignment horizontal="center" vertical="center"/>
    </xf>
    <xf numFmtId="170" fontId="53" fillId="0" borderId="7" xfId="0" applyNumberFormat="1" applyFont="1" applyBorder="1" applyAlignment="1">
      <alignment horizontal="center" vertical="center"/>
    </xf>
    <xf numFmtId="190" fontId="53" fillId="0" borderId="20" xfId="0" applyNumberFormat="1" applyFont="1" applyBorder="1" applyAlignment="1">
      <alignment vertical="center"/>
    </xf>
    <xf numFmtId="10" fontId="53" fillId="0" borderId="8" xfId="0" applyNumberFormat="1" applyFont="1" applyBorder="1" applyAlignment="1">
      <alignment horizontal="center" vertical="center"/>
    </xf>
    <xf numFmtId="170" fontId="53" fillId="0" borderId="9" xfId="0" applyNumberFormat="1" applyFont="1" applyBorder="1" applyAlignment="1">
      <alignment horizontal="center" vertical="center"/>
    </xf>
    <xf numFmtId="190" fontId="53" fillId="0" borderId="21" xfId="0" applyNumberFormat="1" applyFont="1" applyBorder="1" applyAlignment="1">
      <alignment vertical="center"/>
    </xf>
    <xf numFmtId="190" fontId="53" fillId="0" borderId="2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92" fontId="4" fillId="21" borderId="12" xfId="45" applyNumberFormat="1" applyFont="1" applyFill="1" applyBorder="1" applyAlignment="1">
      <alignment horizontal="center" vertical="center"/>
    </xf>
    <xf numFmtId="168" fontId="18" fillId="16" borderId="10" xfId="44" applyNumberFormat="1" applyFont="1" applyFill="1" applyBorder="1" applyAlignment="1">
      <alignment vertical="center"/>
    </xf>
    <xf numFmtId="176" fontId="4" fillId="21" borderId="12" xfId="34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3" fillId="13" borderId="0" xfId="49" applyFont="1" applyAlignment="1">
      <alignment horizontal="left" vertical="center"/>
    </xf>
    <xf numFmtId="0" fontId="13" fillId="13" borderId="0" xfId="49" quotePrefix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93" fontId="4" fillId="16" borderId="10" xfId="38" applyNumberFormat="1" applyFont="1" applyAlignment="1">
      <alignment horizontal="center" vertical="center"/>
    </xf>
    <xf numFmtId="193" fontId="4" fillId="0" borderId="0" xfId="0" applyNumberFormat="1" applyFont="1" applyAlignment="1">
      <alignment horizontal="center" vertical="center"/>
    </xf>
    <xf numFmtId="194" fontId="4" fillId="16" borderId="10" xfId="201" quotePrefix="1" applyNumberFormat="1" applyFont="1" applyFill="1" applyBorder="1" applyAlignment="1">
      <alignment horizontal="center" vertical="center"/>
    </xf>
    <xf numFmtId="168" fontId="71" fillId="24" borderId="10" xfId="0" applyNumberFormat="1" applyFont="1" applyFill="1" applyBorder="1" applyAlignment="1">
      <alignment horizontal="center" vertical="center" wrapText="1"/>
    </xf>
    <xf numFmtId="0" fontId="72" fillId="13" borderId="0" xfId="49" applyFont="1" applyAlignment="1">
      <alignment horizontal="left" vertical="center"/>
    </xf>
    <xf numFmtId="168" fontId="72" fillId="13" borderId="0" xfId="49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" fillId="16" borderId="10" xfId="38" applyFont="1" applyAlignment="1">
      <alignment horizontal="center" vertical="center"/>
    </xf>
    <xf numFmtId="187" fontId="1" fillId="16" borderId="10" xfId="38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175" fontId="1" fillId="0" borderId="0" xfId="44" applyNumberFormat="1" applyFont="1" applyAlignment="1">
      <alignment horizontal="center" vertical="center"/>
    </xf>
    <xf numFmtId="175" fontId="11" fillId="27" borderId="0" xfId="202" applyNumberFormat="1" applyAlignment="1">
      <alignment horizontal="center" vertical="center"/>
    </xf>
    <xf numFmtId="187" fontId="11" fillId="27" borderId="0" xfId="202" applyNumberFormat="1" applyAlignment="1">
      <alignment horizontal="center" vertical="center"/>
    </xf>
    <xf numFmtId="187" fontId="1" fillId="0" borderId="0" xfId="44" applyNumberFormat="1" applyFont="1" applyAlignment="1">
      <alignment horizontal="center" vertical="center"/>
    </xf>
    <xf numFmtId="168" fontId="4" fillId="21" borderId="12" xfId="44" applyNumberFormat="1" applyFont="1" applyFill="1" applyBorder="1" applyAlignment="1">
      <alignment horizontal="center" vertical="center"/>
    </xf>
    <xf numFmtId="167" fontId="4" fillId="21" borderId="12" xfId="34" applyNumberFormat="1" applyFont="1" applyFill="1" applyBorder="1" applyAlignment="1">
      <alignment vertical="center"/>
    </xf>
    <xf numFmtId="168" fontId="4" fillId="21" borderId="12" xfId="34" applyNumberFormat="1" applyFont="1" applyFill="1" applyBorder="1" applyAlignment="1">
      <alignment vertical="center"/>
    </xf>
    <xf numFmtId="0" fontId="70" fillId="10" borderId="0" xfId="12" applyFont="1" applyAlignment="1">
      <alignment horizontal="left" vertical="center"/>
    </xf>
    <xf numFmtId="0" fontId="30" fillId="0" borderId="0" xfId="35" applyFont="1" applyAlignment="1">
      <alignment horizontal="center" vertical="center"/>
    </xf>
    <xf numFmtId="0" fontId="13" fillId="19" borderId="3" xfId="53" applyFont="1" applyFill="1" applyBorder="1" applyAlignment="1">
      <alignment horizontal="right" vertical="center"/>
    </xf>
    <xf numFmtId="0" fontId="13" fillId="19" borderId="4" xfId="53" applyFont="1" applyFill="1" applyBorder="1" applyAlignment="1">
      <alignment horizontal="right" vertical="center"/>
    </xf>
    <xf numFmtId="0" fontId="29" fillId="0" borderId="0" xfId="35" applyFont="1" applyAlignment="1">
      <alignment horizontal="center" vertical="center"/>
    </xf>
    <xf numFmtId="0" fontId="15" fillId="7" borderId="6" xfId="50" applyFont="1" applyBorder="1" applyAlignment="1">
      <alignment horizontal="center" vertical="center"/>
    </xf>
    <xf numFmtId="0" fontId="15" fillId="7" borderId="7" xfId="50" applyFont="1" applyBorder="1" applyAlignment="1">
      <alignment horizontal="center" vertical="center"/>
    </xf>
    <xf numFmtId="8" fontId="13" fillId="13" borderId="0" xfId="49" applyNumberFormat="1" applyFont="1" applyBorder="1" applyAlignment="1">
      <alignment horizontal="center" vertical="center"/>
    </xf>
    <xf numFmtId="8" fontId="13" fillId="10" borderId="0" xfId="12" applyNumberFormat="1" applyFont="1" applyBorder="1" applyAlignment="1">
      <alignment horizontal="center" vertical="center"/>
    </xf>
    <xf numFmtId="0" fontId="33" fillId="13" borderId="0" xfId="49" applyFont="1" applyAlignment="1">
      <alignment horizontal="center" vertical="center"/>
    </xf>
    <xf numFmtId="0" fontId="22" fillId="13" borderId="13" xfId="49" applyFont="1" applyBorder="1" applyAlignment="1">
      <alignment horizontal="left" vertical="center"/>
    </xf>
    <xf numFmtId="168" fontId="55" fillId="0" borderId="0" xfId="45" applyNumberFormat="1" applyFont="1" applyAlignment="1">
      <alignment horizontal="right" vertical="center"/>
    </xf>
    <xf numFmtId="167" fontId="65" fillId="13" borderId="0" xfId="19" applyNumberFormat="1" applyFont="1" applyBorder="1" applyAlignment="1">
      <alignment horizontal="center" vertical="center"/>
    </xf>
    <xf numFmtId="0" fontId="61" fillId="9" borderId="0" xfId="196" applyFont="1" applyBorder="1" applyAlignment="1">
      <alignment horizontal="right" vertical="center"/>
    </xf>
    <xf numFmtId="0" fontId="39" fillId="13" borderId="0" xfId="191" applyFont="1" applyAlignment="1">
      <alignment horizontal="left" vertical="center"/>
    </xf>
    <xf numFmtId="0" fontId="16" fillId="17" borderId="14" xfId="192" applyFont="1" applyFill="1" applyBorder="1" applyAlignment="1">
      <alignment horizontal="center" vertical="center"/>
    </xf>
    <xf numFmtId="0" fontId="16" fillId="17" borderId="15" xfId="192" applyFont="1" applyFill="1" applyBorder="1" applyAlignment="1">
      <alignment horizontal="center" vertical="center"/>
    </xf>
    <xf numFmtId="0" fontId="19" fillId="22" borderId="14" xfId="193" applyFont="1" applyFill="1" applyBorder="1" applyAlignment="1">
      <alignment horizontal="center" vertical="center"/>
    </xf>
    <xf numFmtId="0" fontId="19" fillId="22" borderId="15" xfId="193" applyFont="1" applyFill="1" applyBorder="1" applyAlignment="1">
      <alignment horizontal="center" vertical="center"/>
    </xf>
    <xf numFmtId="0" fontId="22" fillId="13" borderId="0" xfId="193" applyFont="1" applyBorder="1" applyAlignment="1">
      <alignment horizontal="center" vertical="center"/>
    </xf>
    <xf numFmtId="0" fontId="53" fillId="0" borderId="22" xfId="0" applyFont="1" applyBorder="1" applyAlignment="1">
      <alignment horizontal="right" vertical="center"/>
    </xf>
    <xf numFmtId="0" fontId="53" fillId="0" borderId="1" xfId="0" applyFont="1" applyBorder="1" applyAlignment="1">
      <alignment horizontal="right" vertical="center"/>
    </xf>
    <xf numFmtId="0" fontId="66" fillId="9" borderId="22" xfId="196" applyFont="1" applyBorder="1" applyAlignment="1">
      <alignment horizontal="center" vertical="center"/>
    </xf>
    <xf numFmtId="0" fontId="66" fillId="9" borderId="23" xfId="196" applyFont="1" applyBorder="1" applyAlignment="1">
      <alignment horizontal="center" vertical="center"/>
    </xf>
    <xf numFmtId="0" fontId="66" fillId="9" borderId="1" xfId="196" applyFont="1" applyBorder="1" applyAlignment="1">
      <alignment horizontal="center" vertical="center"/>
    </xf>
    <xf numFmtId="0" fontId="53" fillId="0" borderId="22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</cellXfs>
  <cellStyles count="203">
    <cellStyle name="20% - Énfasis1 2" xfId="1" xr:uid="{00000000-0005-0000-0000-000000000000}"/>
    <cellStyle name="20% - Énfasis1 2 2" xfId="192" xr:uid="{00000000-0005-0000-0000-000001000000}"/>
    <cellStyle name="20% - Énfasis1 3" xfId="2" xr:uid="{00000000-0005-0000-0000-000002000000}"/>
    <cellStyle name="20% - Énfasis1 4" xfId="3" xr:uid="{00000000-0005-0000-0000-000003000000}"/>
    <cellStyle name="20% - Énfasis3 2" xfId="4" xr:uid="{00000000-0005-0000-0000-000004000000}"/>
    <cellStyle name="20% - Énfasis5" xfId="51" builtinId="46"/>
    <cellStyle name="20% - Énfasis5 2" xfId="5" xr:uid="{00000000-0005-0000-0000-000006000000}"/>
    <cellStyle name="40% - Énfasis1" xfId="50" builtinId="31"/>
    <cellStyle name="40% - Énfasis1 2" xfId="6" xr:uid="{00000000-0005-0000-0000-000008000000}"/>
    <cellStyle name="40% - Énfasis1 2 2" xfId="194" xr:uid="{00000000-0005-0000-0000-000009000000}"/>
    <cellStyle name="40% - Énfasis1 3" xfId="7" xr:uid="{00000000-0005-0000-0000-00000A000000}"/>
    <cellStyle name="40% - Énfasis1 4" xfId="8" xr:uid="{00000000-0005-0000-0000-00000B000000}"/>
    <cellStyle name="40% - Énfasis1 5" xfId="9" xr:uid="{00000000-0005-0000-0000-00000C000000}"/>
    <cellStyle name="40% - Énfasis4 2" xfId="10" xr:uid="{00000000-0005-0000-0000-00000D000000}"/>
    <cellStyle name="40% - Énfasis5" xfId="52" builtinId="47"/>
    <cellStyle name="40% - Énfasis5 2" xfId="11" xr:uid="{00000000-0005-0000-0000-00000F000000}"/>
    <cellStyle name="40% - Énfasis5 2 3" xfId="196" xr:uid="{85EA765A-A2FC-BB4C-8744-3C84DC8AAD0A}"/>
    <cellStyle name="60% - Énfasis1" xfId="12" builtinId="32"/>
    <cellStyle name="60% - Énfasis1 2" xfId="13" xr:uid="{00000000-0005-0000-0000-000011000000}"/>
    <cellStyle name="60% - Énfasis1 3" xfId="14" xr:uid="{00000000-0005-0000-0000-000012000000}"/>
    <cellStyle name="60% - Énfasis2 2" xfId="15" xr:uid="{00000000-0005-0000-0000-000013000000}"/>
    <cellStyle name="60% - Énfasis2 3" xfId="16" xr:uid="{00000000-0005-0000-0000-000014000000}"/>
    <cellStyle name="60% - Énfasis5 2" xfId="17" xr:uid="{00000000-0005-0000-0000-000015000000}"/>
    <cellStyle name="Énfasis1" xfId="49" builtinId="29"/>
    <cellStyle name="Énfasis1 2" xfId="18" xr:uid="{00000000-0005-0000-0000-000017000000}"/>
    <cellStyle name="Énfasis1 2 2" xfId="19" xr:uid="{00000000-0005-0000-0000-000018000000}"/>
    <cellStyle name="Énfasis1 2 2 2" xfId="193" xr:uid="{00000000-0005-0000-0000-000019000000}"/>
    <cellStyle name="Énfasis1 2 3" xfId="20" xr:uid="{00000000-0005-0000-0000-00001A000000}"/>
    <cellStyle name="Énfasis1 2 3 2" xfId="197" xr:uid="{BB5CDBCC-0A94-BA44-8655-CACB73F1D134}"/>
    <cellStyle name="Énfasis1 3" xfId="21" xr:uid="{00000000-0005-0000-0000-00001B000000}"/>
    <cellStyle name="Énfasis1 3 2" xfId="22" xr:uid="{00000000-0005-0000-0000-00001C000000}"/>
    <cellStyle name="Énfasis1 3 3" xfId="191" xr:uid="{00000000-0005-0000-0000-00001D000000}"/>
    <cellStyle name="Énfasis1 4" xfId="23" xr:uid="{00000000-0005-0000-0000-00001E000000}"/>
    <cellStyle name="Énfasis2 2" xfId="24" xr:uid="{00000000-0005-0000-0000-00001F000000}"/>
    <cellStyle name="Énfasis5 2" xfId="202" xr:uid="{640F4196-BA38-7A4C-ACF9-E6451B5D7529}"/>
    <cellStyle name="Estilo 1" xfId="25" xr:uid="{00000000-0005-0000-0000-000020000000}"/>
    <cellStyle name="Euro" xfId="26" xr:uid="{00000000-0005-0000-0000-000021000000}"/>
    <cellStyle name="Excel_BuiltIn_20% - Énfasis5" xfId="27" xr:uid="{00000000-0005-0000-0000-000022000000}"/>
    <cellStyle name="Hipervínculo" xfId="54" builtinId="8" hidden="1"/>
    <cellStyle name="Hipervínculo" xfId="56" builtinId="8" hidden="1"/>
    <cellStyle name="Hipervínculo" xfId="58" builtinId="8" hidden="1"/>
    <cellStyle name="Hipervínculo" xfId="60" builtinId="8" hidden="1"/>
    <cellStyle name="Hipervínculo" xfId="62" builtinId="8" hidden="1"/>
    <cellStyle name="Hipervínculo" xfId="64" builtinId="8" hidden="1"/>
    <cellStyle name="Hipervínculo" xfId="66" builtinId="8" hidden="1"/>
    <cellStyle name="Hipervínculo" xfId="68" builtinId="8" hidden="1"/>
    <cellStyle name="Hipervínculo" xfId="70" builtinId="8" hidden="1"/>
    <cellStyle name="Hipervínculo" xfId="72" builtinId="8" hidden="1"/>
    <cellStyle name="Hipervínculo" xfId="74" builtinId="8" hidden="1"/>
    <cellStyle name="Hipervínculo" xfId="76" builtinId="8" hidden="1"/>
    <cellStyle name="Hipervínculo" xfId="78" builtinId="8" hidden="1"/>
    <cellStyle name="Hipervínculo" xfId="80" builtinId="8" hidden="1"/>
    <cellStyle name="Hipervínculo" xfId="82" builtinId="8" hidden="1"/>
    <cellStyle name="Hipervínculo" xfId="84" builtinId="8" hidden="1"/>
    <cellStyle name="Hipervínculo" xfId="86" builtinId="8" hidden="1"/>
    <cellStyle name="Hipervínculo" xfId="88" builtinId="8" hidden="1"/>
    <cellStyle name="Hipervínculo" xfId="90" builtinId="8" hidden="1"/>
    <cellStyle name="Hipervínculo" xfId="92" builtinId="8" hidden="1"/>
    <cellStyle name="Hipervínculo" xfId="94" builtinId="8" hidden="1"/>
    <cellStyle name="Hipervínculo" xfId="96" builtinId="8" hidden="1"/>
    <cellStyle name="Hipervínculo" xfId="98" builtinId="8" hidden="1"/>
    <cellStyle name="Hipervínculo" xfId="100" builtinId="8" hidden="1"/>
    <cellStyle name="Hipervínculo" xfId="102" builtinId="8" hidden="1"/>
    <cellStyle name="Hipervínculo" xfId="104" builtinId="8" hidden="1"/>
    <cellStyle name="Hipervínculo" xfId="106" builtinId="8" hidden="1"/>
    <cellStyle name="Hipervínculo" xfId="108" builtinId="8" hidden="1"/>
    <cellStyle name="Hipervínculo" xfId="110" builtinId="8" hidden="1"/>
    <cellStyle name="Hipervínculo" xfId="112" builtinId="8" hidden="1"/>
    <cellStyle name="Hipervínculo" xfId="114" builtinId="8" hidden="1"/>
    <cellStyle name="Hipervínculo" xfId="116" builtinId="8" hidden="1"/>
    <cellStyle name="Hipervínculo" xfId="118" builtinId="8" hidden="1"/>
    <cellStyle name="Hipervínculo" xfId="120" builtinId="8" hidden="1"/>
    <cellStyle name="Hipervínculo" xfId="122" builtinId="8" hidden="1"/>
    <cellStyle name="Hipervínculo" xfId="124" builtinId="8" hidden="1"/>
    <cellStyle name="Hipervínculo" xfId="126" builtinId="8" hidden="1"/>
    <cellStyle name="Hipervínculo" xfId="128" builtinId="8" hidden="1"/>
    <cellStyle name="Hipervínculo" xfId="130" builtinId="8" hidden="1"/>
    <cellStyle name="Hipervínculo" xfId="132" builtinId="8" hidden="1"/>
    <cellStyle name="Hipervínculo" xfId="134" builtinId="8" hidden="1"/>
    <cellStyle name="Hipervínculo" xfId="136" builtinId="8" hidden="1"/>
    <cellStyle name="Hipervínculo" xfId="138" builtinId="8" hidden="1"/>
    <cellStyle name="Hipervínculo" xfId="140" builtinId="8" hidden="1"/>
    <cellStyle name="Hipervínculo" xfId="142" builtinId="8" hidden="1"/>
    <cellStyle name="Hipervínculo" xfId="144" builtinId="8" hidden="1"/>
    <cellStyle name="Hipervínculo" xfId="146" builtinId="8" hidden="1"/>
    <cellStyle name="Hipervínculo" xfId="148" builtinId="8" hidden="1"/>
    <cellStyle name="Hipervínculo" xfId="150" builtinId="8" hidden="1"/>
    <cellStyle name="Hipervínculo" xfId="152" builtinId="8" hidden="1"/>
    <cellStyle name="Hipervínculo" xfId="154" builtinId="8" hidden="1"/>
    <cellStyle name="Hipervínculo" xfId="156" builtinId="8" hidden="1"/>
    <cellStyle name="Hipervínculo" xfId="158" builtinId="8" hidden="1"/>
    <cellStyle name="Hipervínculo" xfId="160" builtinId="8" hidden="1"/>
    <cellStyle name="Hipervínculo" xfId="162" builtinId="8" hidden="1"/>
    <cellStyle name="Hipervínculo" xfId="164" builtinId="8" hidden="1"/>
    <cellStyle name="Hipervínculo" xfId="166" builtinId="8" hidden="1"/>
    <cellStyle name="Hipervínculo" xfId="168" builtinId="8" hidden="1"/>
    <cellStyle name="Hipervínculo" xfId="170" builtinId="8" hidden="1"/>
    <cellStyle name="Hipervínculo" xfId="172" builtinId="8" hidden="1"/>
    <cellStyle name="Hipervínculo" xfId="174" builtinId="8" hidden="1"/>
    <cellStyle name="Hipervínculo" xfId="176" builtinId="8" hidden="1"/>
    <cellStyle name="Hipervínculo" xfId="178" builtinId="8" hidden="1"/>
    <cellStyle name="Hipervínculo" xfId="180" builtinId="8" hidden="1"/>
    <cellStyle name="Hipervínculo" xfId="182" builtinId="8" hidden="1"/>
    <cellStyle name="Hipervínculo" xfId="184" builtinId="8" hidden="1"/>
    <cellStyle name="Hipervínculo" xfId="186" builtinId="8" hidden="1"/>
    <cellStyle name="Hipervínculo visitado" xfId="55" builtinId="9" hidden="1"/>
    <cellStyle name="Hipervínculo visitado" xfId="57" builtinId="9" hidden="1"/>
    <cellStyle name="Hipervínculo visitado" xfId="59" builtinId="9" hidden="1"/>
    <cellStyle name="Hipervínculo visitado" xfId="61" builtinId="9" hidden="1"/>
    <cellStyle name="Hipervínculo visitado" xfId="63" builtinId="9" hidden="1"/>
    <cellStyle name="Hipervínculo visitado" xfId="65" builtinId="9" hidden="1"/>
    <cellStyle name="Hipervínculo visitado" xfId="67" builtinId="9" hidden="1"/>
    <cellStyle name="Hipervínculo visitado" xfId="69" builtinId="9" hidden="1"/>
    <cellStyle name="Hipervínculo visitado" xfId="71" builtinId="9" hidden="1"/>
    <cellStyle name="Hipervínculo visitado" xfId="73" builtinId="9" hidden="1"/>
    <cellStyle name="Hipervínculo visitado" xfId="75" builtinId="9" hidden="1"/>
    <cellStyle name="Hipervínculo visitado" xfId="77" builtinId="9" hidden="1"/>
    <cellStyle name="Hipervínculo visitado" xfId="79" builtinId="9" hidden="1"/>
    <cellStyle name="Hipervínculo visitado" xfId="81" builtinId="9" hidden="1"/>
    <cellStyle name="Hipervínculo visitado" xfId="83" builtinId="9" hidden="1"/>
    <cellStyle name="Hipervínculo visitado" xfId="85" builtinId="9" hidden="1"/>
    <cellStyle name="Hipervínculo visitado" xfId="87" builtinId="9" hidden="1"/>
    <cellStyle name="Hipervínculo visitado" xfId="89" builtinId="9" hidden="1"/>
    <cellStyle name="Hipervínculo visitado" xfId="91" builtinId="9" hidden="1"/>
    <cellStyle name="Hipervínculo visitado" xfId="93" builtinId="9" hidden="1"/>
    <cellStyle name="Hipervínculo visitado" xfId="95" builtinId="9" hidden="1"/>
    <cellStyle name="Hipervínculo visitado" xfId="97" builtinId="9" hidden="1"/>
    <cellStyle name="Hipervínculo visitado" xfId="99" builtinId="9" hidden="1"/>
    <cellStyle name="Hipervínculo visitado" xfId="101" builtinId="9" hidden="1"/>
    <cellStyle name="Hipervínculo visitado" xfId="103" builtinId="9" hidden="1"/>
    <cellStyle name="Hipervínculo visitado" xfId="105" builtinId="9" hidden="1"/>
    <cellStyle name="Hipervínculo visitado" xfId="107" builtinId="9" hidden="1"/>
    <cellStyle name="Hipervínculo visitado" xfId="109" builtinId="9" hidden="1"/>
    <cellStyle name="Hipervínculo visitado" xfId="111" builtinId="9" hidden="1"/>
    <cellStyle name="Hipervínculo visitado" xfId="113" builtinId="9" hidden="1"/>
    <cellStyle name="Hipervínculo visitado" xfId="115" builtinId="9" hidden="1"/>
    <cellStyle name="Hipervínculo visitado" xfId="117" builtinId="9" hidden="1"/>
    <cellStyle name="Hipervínculo visitado" xfId="119" builtinId="9" hidden="1"/>
    <cellStyle name="Hipervínculo visitado" xfId="121" builtinId="9" hidden="1"/>
    <cellStyle name="Hipervínculo visitado" xfId="123" builtinId="9" hidden="1"/>
    <cellStyle name="Hipervínculo visitado" xfId="125" builtinId="9" hidden="1"/>
    <cellStyle name="Hipervínculo visitado" xfId="127" builtinId="9" hidden="1"/>
    <cellStyle name="Hipervínculo visitado" xfId="129" builtinId="9" hidden="1"/>
    <cellStyle name="Hipervínculo visitado" xfId="131" builtinId="9" hidden="1"/>
    <cellStyle name="Hipervínculo visitado" xfId="133" builtinId="9" hidden="1"/>
    <cellStyle name="Hipervínculo visitado" xfId="135" builtinId="9" hidden="1"/>
    <cellStyle name="Hipervínculo visitado" xfId="137" builtinId="9" hidden="1"/>
    <cellStyle name="Hipervínculo visitado" xfId="139" builtinId="9" hidden="1"/>
    <cellStyle name="Hipervínculo visitado" xfId="141" builtinId="9" hidden="1"/>
    <cellStyle name="Hipervínculo visitado" xfId="143" builtinId="9" hidden="1"/>
    <cellStyle name="Hipervínculo visitado" xfId="145" builtinId="9" hidden="1"/>
    <cellStyle name="Hipervínculo visitado" xfId="147" builtinId="9" hidden="1"/>
    <cellStyle name="Hipervínculo visitado" xfId="149" builtinId="9" hidden="1"/>
    <cellStyle name="Hipervínculo visitado" xfId="151" builtinId="9" hidden="1"/>
    <cellStyle name="Hipervínculo visitado" xfId="153" builtinId="9" hidden="1"/>
    <cellStyle name="Hipervínculo visitado" xfId="155" builtinId="9" hidden="1"/>
    <cellStyle name="Hipervínculo visitado" xfId="157" builtinId="9" hidden="1"/>
    <cellStyle name="Hipervínculo visitado" xfId="159" builtinId="9" hidden="1"/>
    <cellStyle name="Hipervínculo visitado" xfId="161" builtinId="9" hidden="1"/>
    <cellStyle name="Hipervínculo visitado" xfId="163" builtinId="9" hidden="1"/>
    <cellStyle name="Hipervínculo visitado" xfId="165" builtinId="9" hidden="1"/>
    <cellStyle name="Hipervínculo visitado" xfId="167" builtinId="9" hidden="1"/>
    <cellStyle name="Hipervínculo visitado" xfId="169" builtinId="9" hidden="1"/>
    <cellStyle name="Hipervínculo visitado" xfId="171" builtinId="9" hidden="1"/>
    <cellStyle name="Hipervínculo visitado" xfId="173" builtinId="9" hidden="1"/>
    <cellStyle name="Hipervínculo visitado" xfId="175" builtinId="9" hidden="1"/>
    <cellStyle name="Hipervínculo visitado" xfId="177" builtinId="9" hidden="1"/>
    <cellStyle name="Hipervínculo visitado" xfId="179" builtinId="9" hidden="1"/>
    <cellStyle name="Hipervínculo visitado" xfId="181" builtinId="9" hidden="1"/>
    <cellStyle name="Hipervínculo visitado" xfId="183" builtinId="9" hidden="1"/>
    <cellStyle name="Hipervínculo visitado" xfId="185" builtinId="9" hidden="1"/>
    <cellStyle name="Hipervínculo visitado" xfId="187" builtinId="9" hidden="1"/>
    <cellStyle name="Millares" xfId="48" builtinId="3"/>
    <cellStyle name="Millares 2" xfId="28" xr:uid="{00000000-0005-0000-0000-0000AA000000}"/>
    <cellStyle name="Millares 3" xfId="29" xr:uid="{00000000-0005-0000-0000-0000AB000000}"/>
    <cellStyle name="Millares 4" xfId="30" xr:uid="{00000000-0005-0000-0000-0000AC000000}"/>
    <cellStyle name="Millares 5" xfId="31" xr:uid="{00000000-0005-0000-0000-0000AD000000}"/>
    <cellStyle name="Millares 6" xfId="201" xr:uid="{E90DC278-989E-8F47-B58A-21AF911C9EE9}"/>
    <cellStyle name="Moneda 2" xfId="32" xr:uid="{00000000-0005-0000-0000-0000AE000000}"/>
    <cellStyle name="Moneda 3" xfId="200" xr:uid="{038FDD1F-35AE-4A43-8393-FABF50BB13E1}"/>
    <cellStyle name="Normal" xfId="0" builtinId="0"/>
    <cellStyle name="Normal 2" xfId="33" xr:uid="{00000000-0005-0000-0000-0000B0000000}"/>
    <cellStyle name="Normal 2 2" xfId="34" xr:uid="{00000000-0005-0000-0000-0000B1000000}"/>
    <cellStyle name="Normal 2 2 2" xfId="188" xr:uid="{00000000-0005-0000-0000-0000B2000000}"/>
    <cellStyle name="Normal 3" xfId="35" xr:uid="{00000000-0005-0000-0000-0000B3000000}"/>
    <cellStyle name="Normal 4" xfId="36" xr:uid="{00000000-0005-0000-0000-0000B4000000}"/>
    <cellStyle name="Normal 5" xfId="37" xr:uid="{00000000-0005-0000-0000-0000B5000000}"/>
    <cellStyle name="Normal 5 2" xfId="198" xr:uid="{B610CD4C-B5AC-3040-BFD9-28068AA9AA94}"/>
    <cellStyle name="Normal_BARBELL" xfId="53" xr:uid="{00000000-0005-0000-0000-0000B6000000}"/>
    <cellStyle name="Nota 2" xfId="39" xr:uid="{00000000-0005-0000-0000-0000B7000000}"/>
    <cellStyle name="Nota 2 2" xfId="195" xr:uid="{00000000-0005-0000-0000-0000B8000000}"/>
    <cellStyle name="Nota 3" xfId="40" xr:uid="{00000000-0005-0000-0000-0000B9000000}"/>
    <cellStyle name="Nota 4" xfId="41" xr:uid="{00000000-0005-0000-0000-0000BA000000}"/>
    <cellStyle name="Nota 4 2" xfId="42" xr:uid="{00000000-0005-0000-0000-0000BB000000}"/>
    <cellStyle name="Nota 5" xfId="43" xr:uid="{00000000-0005-0000-0000-0000BC000000}"/>
    <cellStyle name="Notas" xfId="38" builtinId="10"/>
    <cellStyle name="Notas 2" xfId="189" xr:uid="{00000000-0005-0000-0000-0000BE000000}"/>
    <cellStyle name="Porcentaje" xfId="44" builtinId="5"/>
    <cellStyle name="Porcentual 2" xfId="45" xr:uid="{00000000-0005-0000-0000-0000C0000000}"/>
    <cellStyle name="Porcentual 2 2" xfId="190" xr:uid="{00000000-0005-0000-0000-0000C1000000}"/>
    <cellStyle name="Porcentual 3" xfId="46" xr:uid="{00000000-0005-0000-0000-0000C2000000}"/>
    <cellStyle name="Porcentual 3 2" xfId="47" xr:uid="{00000000-0005-0000-0000-0000C3000000}"/>
    <cellStyle name="Porcentual 3 2 2" xfId="199" xr:uid="{ED48D08E-3EB2-3F4C-889E-DB606B912EE0}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Evolución precio y cotización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E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Bono 4,20% 31Ene37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25959126062"/>
          <c:y val="0.15390005169592499"/>
          <c:w val="0.79732076545335595"/>
          <c:h val="0.56022511225706095"/>
        </c:manualLayout>
      </c:layout>
      <c:lineChart>
        <c:grouping val="standard"/>
        <c:varyColors val="0"/>
        <c:ser>
          <c:idx val="0"/>
          <c:order val="0"/>
          <c:tx>
            <c:strRef>
              <c:f>'Cot-Px'!$B$5</c:f>
              <c:strCache>
                <c:ptCount val="1"/>
                <c:pt idx="0">
                  <c:v>Cotización</c:v>
                </c:pt>
              </c:strCache>
            </c:strRef>
          </c:tx>
          <c:spPr>
            <a:ln w="25400">
              <a:solidFill>
                <a:srgbClr val="666699"/>
              </a:solidFill>
              <a:prstDash val="solid"/>
            </a:ln>
          </c:spPr>
          <c:marker>
            <c:symbol val="none"/>
          </c:marker>
          <c:cat>
            <c:numRef>
              <c:f>'Cot-Px'!$A$6:$A$492</c:f>
              <c:numCache>
                <c:formatCode>dd\-mmm\-yyyy\ ddd</c:formatCode>
                <c:ptCount val="487"/>
                <c:pt idx="0">
                  <c:v>42124</c:v>
                </c:pt>
                <c:pt idx="1">
                  <c:v>42123</c:v>
                </c:pt>
                <c:pt idx="2">
                  <c:v>42122</c:v>
                </c:pt>
                <c:pt idx="3">
                  <c:v>42121</c:v>
                </c:pt>
                <c:pt idx="4">
                  <c:v>42118</c:v>
                </c:pt>
                <c:pt idx="5">
                  <c:v>42117</c:v>
                </c:pt>
                <c:pt idx="6">
                  <c:v>42116</c:v>
                </c:pt>
                <c:pt idx="7">
                  <c:v>42115</c:v>
                </c:pt>
                <c:pt idx="8">
                  <c:v>42114</c:v>
                </c:pt>
                <c:pt idx="9">
                  <c:v>42111</c:v>
                </c:pt>
                <c:pt idx="10">
                  <c:v>42110</c:v>
                </c:pt>
                <c:pt idx="11">
                  <c:v>42109</c:v>
                </c:pt>
                <c:pt idx="12">
                  <c:v>42108</c:v>
                </c:pt>
                <c:pt idx="13">
                  <c:v>42107</c:v>
                </c:pt>
                <c:pt idx="14">
                  <c:v>42104</c:v>
                </c:pt>
                <c:pt idx="15">
                  <c:v>42103</c:v>
                </c:pt>
                <c:pt idx="16">
                  <c:v>42102</c:v>
                </c:pt>
                <c:pt idx="17">
                  <c:v>42101</c:v>
                </c:pt>
                <c:pt idx="18">
                  <c:v>42100</c:v>
                </c:pt>
                <c:pt idx="19">
                  <c:v>42097</c:v>
                </c:pt>
                <c:pt idx="20">
                  <c:v>42096</c:v>
                </c:pt>
                <c:pt idx="21">
                  <c:v>42095</c:v>
                </c:pt>
                <c:pt idx="22">
                  <c:v>42094</c:v>
                </c:pt>
                <c:pt idx="23">
                  <c:v>42093</c:v>
                </c:pt>
                <c:pt idx="24">
                  <c:v>42090</c:v>
                </c:pt>
                <c:pt idx="25">
                  <c:v>42089</c:v>
                </c:pt>
                <c:pt idx="26">
                  <c:v>42088</c:v>
                </c:pt>
                <c:pt idx="27">
                  <c:v>42087</c:v>
                </c:pt>
                <c:pt idx="28">
                  <c:v>42086</c:v>
                </c:pt>
                <c:pt idx="29">
                  <c:v>42083</c:v>
                </c:pt>
                <c:pt idx="30">
                  <c:v>42082</c:v>
                </c:pt>
                <c:pt idx="31">
                  <c:v>42081</c:v>
                </c:pt>
                <c:pt idx="32">
                  <c:v>42080</c:v>
                </c:pt>
                <c:pt idx="33">
                  <c:v>42079</c:v>
                </c:pt>
                <c:pt idx="34">
                  <c:v>42076</c:v>
                </c:pt>
                <c:pt idx="35">
                  <c:v>42075</c:v>
                </c:pt>
                <c:pt idx="36">
                  <c:v>42074</c:v>
                </c:pt>
                <c:pt idx="37">
                  <c:v>42073</c:v>
                </c:pt>
                <c:pt idx="38">
                  <c:v>42072</c:v>
                </c:pt>
                <c:pt idx="39">
                  <c:v>42069</c:v>
                </c:pt>
                <c:pt idx="40">
                  <c:v>42068</c:v>
                </c:pt>
                <c:pt idx="41">
                  <c:v>42067</c:v>
                </c:pt>
                <c:pt idx="42">
                  <c:v>42066</c:v>
                </c:pt>
                <c:pt idx="43">
                  <c:v>42065</c:v>
                </c:pt>
                <c:pt idx="44">
                  <c:v>42062</c:v>
                </c:pt>
                <c:pt idx="45">
                  <c:v>42061</c:v>
                </c:pt>
                <c:pt idx="46">
                  <c:v>42060</c:v>
                </c:pt>
                <c:pt idx="47">
                  <c:v>42059</c:v>
                </c:pt>
                <c:pt idx="48">
                  <c:v>42058</c:v>
                </c:pt>
                <c:pt idx="49">
                  <c:v>42055</c:v>
                </c:pt>
                <c:pt idx="50">
                  <c:v>42054</c:v>
                </c:pt>
                <c:pt idx="51">
                  <c:v>42053</c:v>
                </c:pt>
                <c:pt idx="52">
                  <c:v>42052</c:v>
                </c:pt>
                <c:pt idx="53">
                  <c:v>42051</c:v>
                </c:pt>
                <c:pt idx="54">
                  <c:v>42048</c:v>
                </c:pt>
                <c:pt idx="55">
                  <c:v>42047</c:v>
                </c:pt>
                <c:pt idx="56">
                  <c:v>42046</c:v>
                </c:pt>
                <c:pt idx="57">
                  <c:v>42045</c:v>
                </c:pt>
                <c:pt idx="58">
                  <c:v>42044</c:v>
                </c:pt>
                <c:pt idx="59">
                  <c:v>42041</c:v>
                </c:pt>
                <c:pt idx="60">
                  <c:v>42040</c:v>
                </c:pt>
                <c:pt idx="61">
                  <c:v>42039</c:v>
                </c:pt>
                <c:pt idx="62">
                  <c:v>42038</c:v>
                </c:pt>
                <c:pt idx="63">
                  <c:v>42037</c:v>
                </c:pt>
                <c:pt idx="64">
                  <c:v>42034</c:v>
                </c:pt>
                <c:pt idx="65">
                  <c:v>42033</c:v>
                </c:pt>
                <c:pt idx="66">
                  <c:v>42032</c:v>
                </c:pt>
                <c:pt idx="67">
                  <c:v>42031</c:v>
                </c:pt>
                <c:pt idx="68">
                  <c:v>42030</c:v>
                </c:pt>
                <c:pt idx="69">
                  <c:v>42027</c:v>
                </c:pt>
                <c:pt idx="70">
                  <c:v>42026</c:v>
                </c:pt>
                <c:pt idx="71">
                  <c:v>42025</c:v>
                </c:pt>
                <c:pt idx="72">
                  <c:v>42024</c:v>
                </c:pt>
                <c:pt idx="73">
                  <c:v>42023</c:v>
                </c:pt>
                <c:pt idx="74">
                  <c:v>42020</c:v>
                </c:pt>
                <c:pt idx="75">
                  <c:v>42019</c:v>
                </c:pt>
                <c:pt idx="76">
                  <c:v>42018</c:v>
                </c:pt>
                <c:pt idx="77">
                  <c:v>42017</c:v>
                </c:pt>
                <c:pt idx="78">
                  <c:v>42016</c:v>
                </c:pt>
                <c:pt idx="79">
                  <c:v>42013</c:v>
                </c:pt>
                <c:pt idx="80">
                  <c:v>42012</c:v>
                </c:pt>
                <c:pt idx="81">
                  <c:v>42011</c:v>
                </c:pt>
                <c:pt idx="82">
                  <c:v>42010</c:v>
                </c:pt>
                <c:pt idx="83">
                  <c:v>42009</c:v>
                </c:pt>
                <c:pt idx="84">
                  <c:v>42006</c:v>
                </c:pt>
                <c:pt idx="85">
                  <c:v>42005</c:v>
                </c:pt>
                <c:pt idx="86">
                  <c:v>42004</c:v>
                </c:pt>
                <c:pt idx="87">
                  <c:v>42003</c:v>
                </c:pt>
                <c:pt idx="88">
                  <c:v>42002</c:v>
                </c:pt>
                <c:pt idx="89">
                  <c:v>41999</c:v>
                </c:pt>
                <c:pt idx="90">
                  <c:v>41998</c:v>
                </c:pt>
                <c:pt idx="91">
                  <c:v>41997</c:v>
                </c:pt>
                <c:pt idx="92">
                  <c:v>41996</c:v>
                </c:pt>
                <c:pt idx="93">
                  <c:v>41995</c:v>
                </c:pt>
                <c:pt idx="94">
                  <c:v>41992</c:v>
                </c:pt>
                <c:pt idx="95">
                  <c:v>41991</c:v>
                </c:pt>
                <c:pt idx="96">
                  <c:v>41990</c:v>
                </c:pt>
                <c:pt idx="97">
                  <c:v>41989</c:v>
                </c:pt>
                <c:pt idx="98">
                  <c:v>41988</c:v>
                </c:pt>
                <c:pt idx="99">
                  <c:v>41985</c:v>
                </c:pt>
                <c:pt idx="100">
                  <c:v>41984</c:v>
                </c:pt>
                <c:pt idx="101">
                  <c:v>41983</c:v>
                </c:pt>
                <c:pt idx="102">
                  <c:v>41982</c:v>
                </c:pt>
                <c:pt idx="103">
                  <c:v>41981</c:v>
                </c:pt>
                <c:pt idx="104">
                  <c:v>41978</c:v>
                </c:pt>
                <c:pt idx="105">
                  <c:v>41977</c:v>
                </c:pt>
                <c:pt idx="106">
                  <c:v>41976</c:v>
                </c:pt>
                <c:pt idx="107">
                  <c:v>41975</c:v>
                </c:pt>
                <c:pt idx="108">
                  <c:v>41974</c:v>
                </c:pt>
                <c:pt idx="109">
                  <c:v>41971</c:v>
                </c:pt>
                <c:pt idx="110">
                  <c:v>41970</c:v>
                </c:pt>
                <c:pt idx="111">
                  <c:v>41969</c:v>
                </c:pt>
                <c:pt idx="112">
                  <c:v>41968</c:v>
                </c:pt>
                <c:pt idx="113">
                  <c:v>41967</c:v>
                </c:pt>
                <c:pt idx="114">
                  <c:v>41964</c:v>
                </c:pt>
                <c:pt idx="115">
                  <c:v>41963</c:v>
                </c:pt>
                <c:pt idx="116">
                  <c:v>41962</c:v>
                </c:pt>
                <c:pt idx="117">
                  <c:v>41961</c:v>
                </c:pt>
                <c:pt idx="118">
                  <c:v>41960</c:v>
                </c:pt>
                <c:pt idx="119">
                  <c:v>41957</c:v>
                </c:pt>
                <c:pt idx="120">
                  <c:v>41956</c:v>
                </c:pt>
                <c:pt idx="121">
                  <c:v>41955</c:v>
                </c:pt>
                <c:pt idx="122">
                  <c:v>41954</c:v>
                </c:pt>
                <c:pt idx="123">
                  <c:v>41953</c:v>
                </c:pt>
                <c:pt idx="124">
                  <c:v>41950</c:v>
                </c:pt>
                <c:pt idx="125">
                  <c:v>41949</c:v>
                </c:pt>
                <c:pt idx="126">
                  <c:v>41948</c:v>
                </c:pt>
                <c:pt idx="127">
                  <c:v>41947</c:v>
                </c:pt>
                <c:pt idx="128">
                  <c:v>41946</c:v>
                </c:pt>
                <c:pt idx="129">
                  <c:v>41943</c:v>
                </c:pt>
                <c:pt idx="130">
                  <c:v>41942</c:v>
                </c:pt>
                <c:pt idx="131">
                  <c:v>41941</c:v>
                </c:pt>
                <c:pt idx="132">
                  <c:v>41940</c:v>
                </c:pt>
                <c:pt idx="133">
                  <c:v>41939</c:v>
                </c:pt>
                <c:pt idx="134">
                  <c:v>41936</c:v>
                </c:pt>
                <c:pt idx="135">
                  <c:v>41935</c:v>
                </c:pt>
                <c:pt idx="136">
                  <c:v>41934</c:v>
                </c:pt>
                <c:pt idx="137">
                  <c:v>41933</c:v>
                </c:pt>
                <c:pt idx="138">
                  <c:v>41932</c:v>
                </c:pt>
                <c:pt idx="139">
                  <c:v>41929</c:v>
                </c:pt>
                <c:pt idx="140">
                  <c:v>41928</c:v>
                </c:pt>
                <c:pt idx="141">
                  <c:v>41927</c:v>
                </c:pt>
                <c:pt idx="142">
                  <c:v>41926</c:v>
                </c:pt>
                <c:pt idx="143">
                  <c:v>41925</c:v>
                </c:pt>
                <c:pt idx="144">
                  <c:v>41922</c:v>
                </c:pt>
                <c:pt idx="145">
                  <c:v>41921</c:v>
                </c:pt>
                <c:pt idx="146">
                  <c:v>41920</c:v>
                </c:pt>
                <c:pt idx="147">
                  <c:v>41919</c:v>
                </c:pt>
                <c:pt idx="148">
                  <c:v>41918</c:v>
                </c:pt>
                <c:pt idx="149">
                  <c:v>41915</c:v>
                </c:pt>
                <c:pt idx="150">
                  <c:v>41914</c:v>
                </c:pt>
                <c:pt idx="151">
                  <c:v>41913</c:v>
                </c:pt>
                <c:pt idx="152">
                  <c:v>41912</c:v>
                </c:pt>
                <c:pt idx="153">
                  <c:v>41911</c:v>
                </c:pt>
                <c:pt idx="154">
                  <c:v>41908</c:v>
                </c:pt>
                <c:pt idx="155">
                  <c:v>41907</c:v>
                </c:pt>
                <c:pt idx="156">
                  <c:v>41906</c:v>
                </c:pt>
                <c:pt idx="157">
                  <c:v>41905</c:v>
                </c:pt>
                <c:pt idx="158">
                  <c:v>41904</c:v>
                </c:pt>
                <c:pt idx="159">
                  <c:v>41901</c:v>
                </c:pt>
                <c:pt idx="160">
                  <c:v>41900</c:v>
                </c:pt>
                <c:pt idx="161">
                  <c:v>41899</c:v>
                </c:pt>
                <c:pt idx="162">
                  <c:v>41898</c:v>
                </c:pt>
                <c:pt idx="163">
                  <c:v>41897</c:v>
                </c:pt>
                <c:pt idx="164">
                  <c:v>41894</c:v>
                </c:pt>
                <c:pt idx="165">
                  <c:v>41893</c:v>
                </c:pt>
                <c:pt idx="166">
                  <c:v>41892</c:v>
                </c:pt>
                <c:pt idx="167">
                  <c:v>41891</c:v>
                </c:pt>
                <c:pt idx="168">
                  <c:v>41890</c:v>
                </c:pt>
                <c:pt idx="169">
                  <c:v>41887</c:v>
                </c:pt>
                <c:pt idx="170">
                  <c:v>41886</c:v>
                </c:pt>
                <c:pt idx="171">
                  <c:v>41885</c:v>
                </c:pt>
                <c:pt idx="172">
                  <c:v>41884</c:v>
                </c:pt>
                <c:pt idx="173">
                  <c:v>41883</c:v>
                </c:pt>
                <c:pt idx="174">
                  <c:v>41880</c:v>
                </c:pt>
                <c:pt idx="175">
                  <c:v>41879</c:v>
                </c:pt>
                <c:pt idx="176">
                  <c:v>41878</c:v>
                </c:pt>
                <c:pt idx="177">
                  <c:v>41877</c:v>
                </c:pt>
                <c:pt idx="178">
                  <c:v>41876</c:v>
                </c:pt>
                <c:pt idx="179">
                  <c:v>41873</c:v>
                </c:pt>
                <c:pt idx="180">
                  <c:v>41872</c:v>
                </c:pt>
                <c:pt idx="181">
                  <c:v>41871</c:v>
                </c:pt>
                <c:pt idx="182">
                  <c:v>41870</c:v>
                </c:pt>
                <c:pt idx="183">
                  <c:v>41869</c:v>
                </c:pt>
                <c:pt idx="184">
                  <c:v>41866</c:v>
                </c:pt>
                <c:pt idx="185">
                  <c:v>41865</c:v>
                </c:pt>
                <c:pt idx="186">
                  <c:v>41864</c:v>
                </c:pt>
                <c:pt idx="187">
                  <c:v>41863</c:v>
                </c:pt>
                <c:pt idx="188">
                  <c:v>41862</c:v>
                </c:pt>
                <c:pt idx="189">
                  <c:v>41859</c:v>
                </c:pt>
                <c:pt idx="190">
                  <c:v>41858</c:v>
                </c:pt>
                <c:pt idx="191">
                  <c:v>41857</c:v>
                </c:pt>
                <c:pt idx="192">
                  <c:v>41856</c:v>
                </c:pt>
                <c:pt idx="193">
                  <c:v>41855</c:v>
                </c:pt>
                <c:pt idx="194">
                  <c:v>41852</c:v>
                </c:pt>
                <c:pt idx="195">
                  <c:v>41851</c:v>
                </c:pt>
                <c:pt idx="196">
                  <c:v>41850</c:v>
                </c:pt>
                <c:pt idx="197">
                  <c:v>41849</c:v>
                </c:pt>
                <c:pt idx="198">
                  <c:v>41848</c:v>
                </c:pt>
                <c:pt idx="199">
                  <c:v>41845</c:v>
                </c:pt>
                <c:pt idx="200">
                  <c:v>41844</c:v>
                </c:pt>
                <c:pt idx="201">
                  <c:v>41843</c:v>
                </c:pt>
                <c:pt idx="202">
                  <c:v>41842</c:v>
                </c:pt>
                <c:pt idx="203">
                  <c:v>41841</c:v>
                </c:pt>
                <c:pt idx="204">
                  <c:v>41838</c:v>
                </c:pt>
                <c:pt idx="205">
                  <c:v>41837</c:v>
                </c:pt>
                <c:pt idx="206">
                  <c:v>41836</c:v>
                </c:pt>
                <c:pt idx="207">
                  <c:v>41835</c:v>
                </c:pt>
                <c:pt idx="208">
                  <c:v>41834</c:v>
                </c:pt>
                <c:pt idx="209">
                  <c:v>41831</c:v>
                </c:pt>
                <c:pt idx="210">
                  <c:v>41830</c:v>
                </c:pt>
                <c:pt idx="211">
                  <c:v>41829</c:v>
                </c:pt>
                <c:pt idx="212">
                  <c:v>41828</c:v>
                </c:pt>
                <c:pt idx="213">
                  <c:v>41827</c:v>
                </c:pt>
                <c:pt idx="214">
                  <c:v>41824</c:v>
                </c:pt>
                <c:pt idx="215">
                  <c:v>41823</c:v>
                </c:pt>
                <c:pt idx="216">
                  <c:v>41822</c:v>
                </c:pt>
                <c:pt idx="217">
                  <c:v>41821</c:v>
                </c:pt>
                <c:pt idx="218">
                  <c:v>41820</c:v>
                </c:pt>
                <c:pt idx="219">
                  <c:v>41817</c:v>
                </c:pt>
                <c:pt idx="220">
                  <c:v>41816</c:v>
                </c:pt>
                <c:pt idx="221">
                  <c:v>41815</c:v>
                </c:pt>
                <c:pt idx="222">
                  <c:v>41814</c:v>
                </c:pt>
                <c:pt idx="223">
                  <c:v>41813</c:v>
                </c:pt>
                <c:pt idx="224">
                  <c:v>41810</c:v>
                </c:pt>
                <c:pt idx="225">
                  <c:v>41809</c:v>
                </c:pt>
                <c:pt idx="226">
                  <c:v>41808</c:v>
                </c:pt>
                <c:pt idx="227">
                  <c:v>41807</c:v>
                </c:pt>
                <c:pt idx="228">
                  <c:v>41806</c:v>
                </c:pt>
                <c:pt idx="229">
                  <c:v>41803</c:v>
                </c:pt>
                <c:pt idx="230">
                  <c:v>41802</c:v>
                </c:pt>
                <c:pt idx="231">
                  <c:v>41801</c:v>
                </c:pt>
                <c:pt idx="232">
                  <c:v>41800</c:v>
                </c:pt>
                <c:pt idx="233">
                  <c:v>41799</c:v>
                </c:pt>
                <c:pt idx="234">
                  <c:v>41796</c:v>
                </c:pt>
                <c:pt idx="235">
                  <c:v>41795</c:v>
                </c:pt>
                <c:pt idx="236">
                  <c:v>41794</c:v>
                </c:pt>
                <c:pt idx="237">
                  <c:v>41793</c:v>
                </c:pt>
                <c:pt idx="238">
                  <c:v>41792</c:v>
                </c:pt>
                <c:pt idx="239">
                  <c:v>41789</c:v>
                </c:pt>
                <c:pt idx="240">
                  <c:v>41788</c:v>
                </c:pt>
                <c:pt idx="241">
                  <c:v>41787</c:v>
                </c:pt>
                <c:pt idx="242">
                  <c:v>41786</c:v>
                </c:pt>
                <c:pt idx="243">
                  <c:v>41785</c:v>
                </c:pt>
                <c:pt idx="244">
                  <c:v>41782</c:v>
                </c:pt>
                <c:pt idx="245">
                  <c:v>41781</c:v>
                </c:pt>
                <c:pt idx="246">
                  <c:v>41780</c:v>
                </c:pt>
                <c:pt idx="247">
                  <c:v>41779</c:v>
                </c:pt>
                <c:pt idx="248">
                  <c:v>41778</c:v>
                </c:pt>
                <c:pt idx="249">
                  <c:v>41775</c:v>
                </c:pt>
                <c:pt idx="250">
                  <c:v>41774</c:v>
                </c:pt>
                <c:pt idx="251">
                  <c:v>41773</c:v>
                </c:pt>
                <c:pt idx="252">
                  <c:v>41772</c:v>
                </c:pt>
                <c:pt idx="253">
                  <c:v>41771</c:v>
                </c:pt>
                <c:pt idx="254">
                  <c:v>41768</c:v>
                </c:pt>
                <c:pt idx="255">
                  <c:v>41767</c:v>
                </c:pt>
                <c:pt idx="256">
                  <c:v>41766</c:v>
                </c:pt>
                <c:pt idx="257">
                  <c:v>41765</c:v>
                </c:pt>
                <c:pt idx="258">
                  <c:v>41764</c:v>
                </c:pt>
                <c:pt idx="259">
                  <c:v>41761</c:v>
                </c:pt>
                <c:pt idx="260">
                  <c:v>41760</c:v>
                </c:pt>
                <c:pt idx="261">
                  <c:v>41759</c:v>
                </c:pt>
                <c:pt idx="262">
                  <c:v>41758</c:v>
                </c:pt>
                <c:pt idx="263">
                  <c:v>41757</c:v>
                </c:pt>
                <c:pt idx="264">
                  <c:v>41754</c:v>
                </c:pt>
                <c:pt idx="265">
                  <c:v>41753</c:v>
                </c:pt>
                <c:pt idx="266">
                  <c:v>41752</c:v>
                </c:pt>
                <c:pt idx="267">
                  <c:v>41751</c:v>
                </c:pt>
                <c:pt idx="268">
                  <c:v>41750</c:v>
                </c:pt>
                <c:pt idx="269">
                  <c:v>41747</c:v>
                </c:pt>
                <c:pt idx="270">
                  <c:v>41746</c:v>
                </c:pt>
                <c:pt idx="271">
                  <c:v>41745</c:v>
                </c:pt>
                <c:pt idx="272">
                  <c:v>41744</c:v>
                </c:pt>
                <c:pt idx="273">
                  <c:v>41743</c:v>
                </c:pt>
                <c:pt idx="274">
                  <c:v>41740</c:v>
                </c:pt>
                <c:pt idx="275">
                  <c:v>41739</c:v>
                </c:pt>
                <c:pt idx="276">
                  <c:v>41738</c:v>
                </c:pt>
                <c:pt idx="277">
                  <c:v>41737</c:v>
                </c:pt>
                <c:pt idx="278">
                  <c:v>41736</c:v>
                </c:pt>
                <c:pt idx="279">
                  <c:v>41733</c:v>
                </c:pt>
                <c:pt idx="280">
                  <c:v>41732</c:v>
                </c:pt>
                <c:pt idx="281">
                  <c:v>41731</c:v>
                </c:pt>
                <c:pt idx="282">
                  <c:v>41730</c:v>
                </c:pt>
                <c:pt idx="283">
                  <c:v>41729</c:v>
                </c:pt>
                <c:pt idx="284">
                  <c:v>41726</c:v>
                </c:pt>
                <c:pt idx="285">
                  <c:v>41725</c:v>
                </c:pt>
                <c:pt idx="286">
                  <c:v>41724</c:v>
                </c:pt>
                <c:pt idx="287">
                  <c:v>41723</c:v>
                </c:pt>
                <c:pt idx="288">
                  <c:v>41722</c:v>
                </c:pt>
                <c:pt idx="289">
                  <c:v>41719</c:v>
                </c:pt>
                <c:pt idx="290">
                  <c:v>41718</c:v>
                </c:pt>
                <c:pt idx="291">
                  <c:v>41717</c:v>
                </c:pt>
                <c:pt idx="292">
                  <c:v>41716</c:v>
                </c:pt>
                <c:pt idx="293">
                  <c:v>41715</c:v>
                </c:pt>
                <c:pt idx="294">
                  <c:v>41712</c:v>
                </c:pt>
                <c:pt idx="295">
                  <c:v>41711</c:v>
                </c:pt>
                <c:pt idx="296">
                  <c:v>41710</c:v>
                </c:pt>
                <c:pt idx="297">
                  <c:v>41709</c:v>
                </c:pt>
                <c:pt idx="298">
                  <c:v>41708</c:v>
                </c:pt>
                <c:pt idx="299">
                  <c:v>41705</c:v>
                </c:pt>
                <c:pt idx="300">
                  <c:v>41704</c:v>
                </c:pt>
                <c:pt idx="301">
                  <c:v>41703</c:v>
                </c:pt>
                <c:pt idx="302">
                  <c:v>41702</c:v>
                </c:pt>
                <c:pt idx="303">
                  <c:v>41701</c:v>
                </c:pt>
                <c:pt idx="304">
                  <c:v>41698</c:v>
                </c:pt>
                <c:pt idx="305">
                  <c:v>41697</c:v>
                </c:pt>
                <c:pt idx="306">
                  <c:v>41696</c:v>
                </c:pt>
                <c:pt idx="307">
                  <c:v>41695</c:v>
                </c:pt>
                <c:pt idx="308">
                  <c:v>41694</c:v>
                </c:pt>
                <c:pt idx="309">
                  <c:v>41691</c:v>
                </c:pt>
                <c:pt idx="310">
                  <c:v>41690</c:v>
                </c:pt>
                <c:pt idx="311">
                  <c:v>41689</c:v>
                </c:pt>
                <c:pt idx="312">
                  <c:v>41688</c:v>
                </c:pt>
                <c:pt idx="313">
                  <c:v>41687</c:v>
                </c:pt>
                <c:pt idx="314">
                  <c:v>41684</c:v>
                </c:pt>
                <c:pt idx="315">
                  <c:v>41683</c:v>
                </c:pt>
                <c:pt idx="316">
                  <c:v>41682</c:v>
                </c:pt>
                <c:pt idx="317">
                  <c:v>41681</c:v>
                </c:pt>
                <c:pt idx="318">
                  <c:v>41680</c:v>
                </c:pt>
                <c:pt idx="319">
                  <c:v>41677</c:v>
                </c:pt>
                <c:pt idx="320">
                  <c:v>41676</c:v>
                </c:pt>
                <c:pt idx="321">
                  <c:v>41675</c:v>
                </c:pt>
                <c:pt idx="322">
                  <c:v>41674</c:v>
                </c:pt>
                <c:pt idx="323">
                  <c:v>41673</c:v>
                </c:pt>
                <c:pt idx="324">
                  <c:v>41670</c:v>
                </c:pt>
                <c:pt idx="325">
                  <c:v>41669</c:v>
                </c:pt>
                <c:pt idx="326">
                  <c:v>41668</c:v>
                </c:pt>
                <c:pt idx="327">
                  <c:v>41667</c:v>
                </c:pt>
                <c:pt idx="328">
                  <c:v>41666</c:v>
                </c:pt>
                <c:pt idx="329">
                  <c:v>41663</c:v>
                </c:pt>
                <c:pt idx="330">
                  <c:v>41662</c:v>
                </c:pt>
                <c:pt idx="331">
                  <c:v>41661</c:v>
                </c:pt>
                <c:pt idx="332">
                  <c:v>41660</c:v>
                </c:pt>
                <c:pt idx="333">
                  <c:v>41659</c:v>
                </c:pt>
                <c:pt idx="334">
                  <c:v>41656</c:v>
                </c:pt>
                <c:pt idx="335">
                  <c:v>41655</c:v>
                </c:pt>
                <c:pt idx="336">
                  <c:v>41654</c:v>
                </c:pt>
                <c:pt idx="337">
                  <c:v>41653</c:v>
                </c:pt>
                <c:pt idx="338">
                  <c:v>41652</c:v>
                </c:pt>
                <c:pt idx="339">
                  <c:v>41649</c:v>
                </c:pt>
                <c:pt idx="340">
                  <c:v>41648</c:v>
                </c:pt>
                <c:pt idx="341">
                  <c:v>41647</c:v>
                </c:pt>
                <c:pt idx="342">
                  <c:v>41646</c:v>
                </c:pt>
                <c:pt idx="343">
                  <c:v>41645</c:v>
                </c:pt>
                <c:pt idx="344">
                  <c:v>41642</c:v>
                </c:pt>
                <c:pt idx="345">
                  <c:v>41641</c:v>
                </c:pt>
                <c:pt idx="346">
                  <c:v>41640</c:v>
                </c:pt>
                <c:pt idx="347">
                  <c:v>41639</c:v>
                </c:pt>
              </c:numCache>
            </c:numRef>
          </c:cat>
          <c:val>
            <c:numRef>
              <c:f>'Cot-Px'!$B$6:$B$492</c:f>
              <c:numCache>
                <c:formatCode>0.000%</c:formatCode>
                <c:ptCount val="487"/>
                <c:pt idx="0">
                  <c:v>1.3215000000000001</c:v>
                </c:pt>
                <c:pt idx="1">
                  <c:v>1.31925</c:v>
                </c:pt>
                <c:pt idx="2">
                  <c:v>1.3540299999999998</c:v>
                </c:pt>
                <c:pt idx="3">
                  <c:v>1.3561300000000001</c:v>
                </c:pt>
                <c:pt idx="4">
                  <c:v>1.3477000000000001</c:v>
                </c:pt>
                <c:pt idx="5">
                  <c:v>1.3533000000000002</c:v>
                </c:pt>
                <c:pt idx="6">
                  <c:v>1.3532</c:v>
                </c:pt>
                <c:pt idx="7">
                  <c:v>1.33525</c:v>
                </c:pt>
                <c:pt idx="8">
                  <c:v>1.3394999999999999</c:v>
                </c:pt>
                <c:pt idx="9">
                  <c:v>1.34405</c:v>
                </c:pt>
                <c:pt idx="10">
                  <c:v>1.3655299999999999</c:v>
                </c:pt>
                <c:pt idx="11">
                  <c:v>1.3834</c:v>
                </c:pt>
                <c:pt idx="12">
                  <c:v>1.3706299999999998</c:v>
                </c:pt>
                <c:pt idx="13">
                  <c:v>1.3931800000000001</c:v>
                </c:pt>
                <c:pt idx="14">
                  <c:v>1.3976</c:v>
                </c:pt>
                <c:pt idx="15">
                  <c:v>1.3962299999999999</c:v>
                </c:pt>
                <c:pt idx="16">
                  <c:v>1.4094</c:v>
                </c:pt>
                <c:pt idx="17">
                  <c:v>1.4155500000000001</c:v>
                </c:pt>
                <c:pt idx="18">
                  <c:v>1.4108799999999999</c:v>
                </c:pt>
                <c:pt idx="19">
                  <c:v>1.4108799999999999</c:v>
                </c:pt>
                <c:pt idx="20">
                  <c:v>1.4108799999999999</c:v>
                </c:pt>
                <c:pt idx="21">
                  <c:v>1.4180000000000001</c:v>
                </c:pt>
                <c:pt idx="22">
                  <c:v>1.4155000000000002</c:v>
                </c:pt>
                <c:pt idx="23">
                  <c:v>1.4016</c:v>
                </c:pt>
                <c:pt idx="24">
                  <c:v>1.3928800000000001</c:v>
                </c:pt>
                <c:pt idx="25">
                  <c:v>1.4046000000000001</c:v>
                </c:pt>
                <c:pt idx="26">
                  <c:v>1.3921000000000001</c:v>
                </c:pt>
                <c:pt idx="27">
                  <c:v>1.3909800000000001</c:v>
                </c:pt>
                <c:pt idx="28">
                  <c:v>1.39832</c:v>
                </c:pt>
                <c:pt idx="29">
                  <c:v>1.4100999999999999</c:v>
                </c:pt>
                <c:pt idx="30">
                  <c:v>1.40065</c:v>
                </c:pt>
                <c:pt idx="31">
                  <c:v>1.4037799999999998</c:v>
                </c:pt>
                <c:pt idx="32">
                  <c:v>1.4197</c:v>
                </c:pt>
                <c:pt idx="33">
                  <c:v>1.4328299999999998</c:v>
                </c:pt>
                <c:pt idx="34">
                  <c:v>1.4296</c:v>
                </c:pt>
                <c:pt idx="35">
                  <c:v>1.4302999999999999</c:v>
                </c:pt>
                <c:pt idx="36">
                  <c:v>1.4249000000000001</c:v>
                </c:pt>
                <c:pt idx="37">
                  <c:v>1.3922800000000002</c:v>
                </c:pt>
                <c:pt idx="38">
                  <c:v>1.3721299999999998</c:v>
                </c:pt>
                <c:pt idx="39">
                  <c:v>1.36673</c:v>
                </c:pt>
                <c:pt idx="40">
                  <c:v>1.3633999999999999</c:v>
                </c:pt>
                <c:pt idx="41">
                  <c:v>1.3485800000000001</c:v>
                </c:pt>
                <c:pt idx="42">
                  <c:v>1.34805</c:v>
                </c:pt>
                <c:pt idx="43">
                  <c:v>1.3650499999999999</c:v>
                </c:pt>
                <c:pt idx="44">
                  <c:v>1.3731800000000001</c:v>
                </c:pt>
                <c:pt idx="45">
                  <c:v>1.3644499999999999</c:v>
                </c:pt>
                <c:pt idx="46">
                  <c:v>1.3374000000000001</c:v>
                </c:pt>
                <c:pt idx="47">
                  <c:v>1.3334800000000002</c:v>
                </c:pt>
                <c:pt idx="48">
                  <c:v>1.3280000000000001</c:v>
                </c:pt>
                <c:pt idx="49">
                  <c:v>1.3175999999999999</c:v>
                </c:pt>
                <c:pt idx="50">
                  <c:v>1.30928</c:v>
                </c:pt>
                <c:pt idx="51">
                  <c:v>1.3100299999999998</c:v>
                </c:pt>
                <c:pt idx="52">
                  <c:v>1.3059000000000001</c:v>
                </c:pt>
                <c:pt idx="53">
                  <c:v>1.3069999999999999</c:v>
                </c:pt>
                <c:pt idx="54">
                  <c:v>1.3112999999999999</c:v>
                </c:pt>
                <c:pt idx="55">
                  <c:v>1.29718</c:v>
                </c:pt>
                <c:pt idx="56">
                  <c:v>1.2936000000000001</c:v>
                </c:pt>
                <c:pt idx="57">
                  <c:v>1.30308</c:v>
                </c:pt>
                <c:pt idx="58">
                  <c:v>1.3051699999999999</c:v>
                </c:pt>
                <c:pt idx="59">
                  <c:v>1.3297800000000002</c:v>
                </c:pt>
                <c:pt idx="60">
                  <c:v>1.33328</c:v>
                </c:pt>
                <c:pt idx="61">
                  <c:v>1.3372999999999999</c:v>
                </c:pt>
                <c:pt idx="62">
                  <c:v>1.33263</c:v>
                </c:pt>
                <c:pt idx="63">
                  <c:v>1.3287</c:v>
                </c:pt>
                <c:pt idx="64">
                  <c:v>1.3322499999999999</c:v>
                </c:pt>
                <c:pt idx="65">
                  <c:v>1.3295699999999999</c:v>
                </c:pt>
                <c:pt idx="66">
                  <c:v>1.339</c:v>
                </c:pt>
                <c:pt idx="67">
                  <c:v>1.35538</c:v>
                </c:pt>
                <c:pt idx="68">
                  <c:v>1.3653299999999999</c:v>
                </c:pt>
                <c:pt idx="69">
                  <c:v>1.3471799999999998</c:v>
                </c:pt>
                <c:pt idx="70">
                  <c:v>1.31332</c:v>
                </c:pt>
                <c:pt idx="71">
                  <c:v>1.2643300000000002</c:v>
                </c:pt>
                <c:pt idx="72">
                  <c:v>1.27213</c:v>
                </c:pt>
                <c:pt idx="73">
                  <c:v>1.27352</c:v>
                </c:pt>
                <c:pt idx="74">
                  <c:v>1.2721</c:v>
                </c:pt>
                <c:pt idx="75">
                  <c:v>1.25145</c:v>
                </c:pt>
                <c:pt idx="76">
                  <c:v>1.25637</c:v>
                </c:pt>
                <c:pt idx="77">
                  <c:v>1.2502</c:v>
                </c:pt>
                <c:pt idx="78">
                  <c:v>1.25227</c:v>
                </c:pt>
                <c:pt idx="79">
                  <c:v>1.2363500000000001</c:v>
                </c:pt>
                <c:pt idx="80">
                  <c:v>1.24743</c:v>
                </c:pt>
                <c:pt idx="81">
                  <c:v>1.24495</c:v>
                </c:pt>
                <c:pt idx="82">
                  <c:v>1.2558</c:v>
                </c:pt>
                <c:pt idx="83">
                  <c:v>1.25213</c:v>
                </c:pt>
                <c:pt idx="84">
                  <c:v>1.2675799999999999</c:v>
                </c:pt>
                <c:pt idx="85">
                  <c:v>1.2561499999999999</c:v>
                </c:pt>
                <c:pt idx="86">
                  <c:v>1.2561499999999999</c:v>
                </c:pt>
                <c:pt idx="87">
                  <c:v>1.2548300000000001</c:v>
                </c:pt>
                <c:pt idx="88">
                  <c:v>1.2481800000000001</c:v>
                </c:pt>
                <c:pt idx="89">
                  <c:v>1.2459</c:v>
                </c:pt>
                <c:pt idx="90">
                  <c:v>1.2459</c:v>
                </c:pt>
                <c:pt idx="91">
                  <c:v>1.2459</c:v>
                </c:pt>
                <c:pt idx="92">
                  <c:v>1.24638</c:v>
                </c:pt>
                <c:pt idx="93">
                  <c:v>1.2464</c:v>
                </c:pt>
                <c:pt idx="94">
                  <c:v>1.2388299999999999</c:v>
                </c:pt>
                <c:pt idx="95">
                  <c:v>1.23292</c:v>
                </c:pt>
                <c:pt idx="96">
                  <c:v>1.2254499999999999</c:v>
                </c:pt>
                <c:pt idx="97">
                  <c:v>1.22123</c:v>
                </c:pt>
                <c:pt idx="98">
                  <c:v>1.2221</c:v>
                </c:pt>
                <c:pt idx="99">
                  <c:v>1.2051000000000001</c:v>
                </c:pt>
                <c:pt idx="100">
                  <c:v>1.206</c:v>
                </c:pt>
                <c:pt idx="101">
                  <c:v>1.2112000000000001</c:v>
                </c:pt>
                <c:pt idx="102">
                  <c:v>1.2154499999999999</c:v>
                </c:pt>
                <c:pt idx="103">
                  <c:v>1.22227</c:v>
                </c:pt>
                <c:pt idx="104">
                  <c:v>1.2146999999999999</c:v>
                </c:pt>
                <c:pt idx="105">
                  <c:v>1.2036</c:v>
                </c:pt>
                <c:pt idx="106">
                  <c:v>1.2119499999999999</c:v>
                </c:pt>
                <c:pt idx="107">
                  <c:v>1.2065300000000001</c:v>
                </c:pt>
                <c:pt idx="108">
                  <c:v>1.20658</c:v>
                </c:pt>
                <c:pt idx="109">
                  <c:v>1.19313</c:v>
                </c:pt>
                <c:pt idx="110">
                  <c:v>1.1865000000000001</c:v>
                </c:pt>
                <c:pt idx="111">
                  <c:v>1.16933</c:v>
                </c:pt>
                <c:pt idx="112">
                  <c:v>1.1700299999999999</c:v>
                </c:pt>
                <c:pt idx="113">
                  <c:v>1.16405</c:v>
                </c:pt>
                <c:pt idx="114">
                  <c:v>1.1564000000000001</c:v>
                </c:pt>
                <c:pt idx="115">
                  <c:v>1.1448</c:v>
                </c:pt>
                <c:pt idx="116">
                  <c:v>1.14178</c:v>
                </c:pt>
                <c:pt idx="117">
                  <c:v>1.1427800000000001</c:v>
                </c:pt>
                <c:pt idx="118">
                  <c:v>1.1484300000000001</c:v>
                </c:pt>
                <c:pt idx="119">
                  <c:v>1.15012</c:v>
                </c:pt>
                <c:pt idx="120">
                  <c:v>1.1516500000000001</c:v>
                </c:pt>
                <c:pt idx="121">
                  <c:v>1.1534800000000001</c:v>
                </c:pt>
                <c:pt idx="122">
                  <c:v>1.15245</c:v>
                </c:pt>
                <c:pt idx="123">
                  <c:v>1.1479200000000001</c:v>
                </c:pt>
                <c:pt idx="124">
                  <c:v>1.14015</c:v>
                </c:pt>
                <c:pt idx="125">
                  <c:v>1.1400300000000001</c:v>
                </c:pt>
                <c:pt idx="126">
                  <c:v>1.13988</c:v>
                </c:pt>
                <c:pt idx="127">
                  <c:v>1.1453</c:v>
                </c:pt>
                <c:pt idx="128">
                  <c:v>1.15072</c:v>
                </c:pt>
                <c:pt idx="129">
                  <c:v>1.1595299999999999</c:v>
                </c:pt>
                <c:pt idx="130">
                  <c:v>1.14697</c:v>
                </c:pt>
                <c:pt idx="131">
                  <c:v>1.14913</c:v>
                </c:pt>
                <c:pt idx="132">
                  <c:v>1.14815</c:v>
                </c:pt>
                <c:pt idx="133">
                  <c:v>1.14778</c:v>
                </c:pt>
                <c:pt idx="134">
                  <c:v>1.1423300000000001</c:v>
                </c:pt>
                <c:pt idx="135">
                  <c:v>1.1416299999999999</c:v>
                </c:pt>
                <c:pt idx="136">
                  <c:v>1.141</c:v>
                </c:pt>
                <c:pt idx="137">
                  <c:v>1.1406799999999999</c:v>
                </c:pt>
                <c:pt idx="138">
                  <c:v>1.13663</c:v>
                </c:pt>
                <c:pt idx="139">
                  <c:v>1.1468499999999999</c:v>
                </c:pt>
                <c:pt idx="140">
                  <c:v>1.1435500000000001</c:v>
                </c:pt>
                <c:pt idx="141">
                  <c:v>1.15893</c:v>
                </c:pt>
                <c:pt idx="142">
                  <c:v>1.1678299999999999</c:v>
                </c:pt>
                <c:pt idx="143">
                  <c:v>1.1635800000000001</c:v>
                </c:pt>
                <c:pt idx="144">
                  <c:v>1.16648</c:v>
                </c:pt>
                <c:pt idx="145">
                  <c:v>1.1650799999999999</c:v>
                </c:pt>
                <c:pt idx="146">
                  <c:v>1.1590499999999999</c:v>
                </c:pt>
                <c:pt idx="147">
                  <c:v>1.1549</c:v>
                </c:pt>
                <c:pt idx="148">
                  <c:v>1.1553</c:v>
                </c:pt>
                <c:pt idx="149">
                  <c:v>1.1625799999999999</c:v>
                </c:pt>
                <c:pt idx="150">
                  <c:v>1.16045</c:v>
                </c:pt>
                <c:pt idx="151">
                  <c:v>1.1664300000000001</c:v>
                </c:pt>
                <c:pt idx="152">
                  <c:v>1.1556999999999999</c:v>
                </c:pt>
                <c:pt idx="153">
                  <c:v>1.1464300000000001</c:v>
                </c:pt>
                <c:pt idx="154">
                  <c:v>1.1516</c:v>
                </c:pt>
                <c:pt idx="155">
                  <c:v>1.1558999999999999</c:v>
                </c:pt>
                <c:pt idx="156">
                  <c:v>1.1573800000000001</c:v>
                </c:pt>
                <c:pt idx="157">
                  <c:v>1.1506799999999999</c:v>
                </c:pt>
                <c:pt idx="158">
                  <c:v>1.14455</c:v>
                </c:pt>
                <c:pt idx="159">
                  <c:v>1.1449800000000001</c:v>
                </c:pt>
                <c:pt idx="160">
                  <c:v>1.1326799999999999</c:v>
                </c:pt>
                <c:pt idx="161">
                  <c:v>1.1313500000000001</c:v>
                </c:pt>
                <c:pt idx="162">
                  <c:v>1.1228499999999999</c:v>
                </c:pt>
                <c:pt idx="163">
                  <c:v>1.1224800000000001</c:v>
                </c:pt>
                <c:pt idx="164">
                  <c:v>1.1208499999999999</c:v>
                </c:pt>
                <c:pt idx="165">
                  <c:v>1.1226499999999999</c:v>
                </c:pt>
                <c:pt idx="166">
                  <c:v>1.12585</c:v>
                </c:pt>
                <c:pt idx="167">
                  <c:v>1.1393500000000001</c:v>
                </c:pt>
                <c:pt idx="168">
                  <c:v>1.1564000000000001</c:v>
                </c:pt>
                <c:pt idx="169">
                  <c:v>1.16917</c:v>
                </c:pt>
                <c:pt idx="170">
                  <c:v>1.1558999999999999</c:v>
                </c:pt>
                <c:pt idx="171">
                  <c:v>1.1433</c:v>
                </c:pt>
                <c:pt idx="172">
                  <c:v>1.14697</c:v>
                </c:pt>
                <c:pt idx="173">
                  <c:v>1.1519299999999999</c:v>
                </c:pt>
                <c:pt idx="174">
                  <c:v>1.16265</c:v>
                </c:pt>
                <c:pt idx="175">
                  <c:v>1.16858</c:v>
                </c:pt>
                <c:pt idx="176">
                  <c:v>1.1786799999999999</c:v>
                </c:pt>
                <c:pt idx="177">
                  <c:v>1.1727800000000002</c:v>
                </c:pt>
                <c:pt idx="178">
                  <c:v>1.15768</c:v>
                </c:pt>
                <c:pt idx="179">
                  <c:v>1.14578</c:v>
                </c:pt>
                <c:pt idx="180">
                  <c:v>1.1411799999999999</c:v>
                </c:pt>
                <c:pt idx="181">
                  <c:v>1.1357999999999999</c:v>
                </c:pt>
                <c:pt idx="182">
                  <c:v>1.1294499999999998</c:v>
                </c:pt>
                <c:pt idx="183">
                  <c:v>1.12388</c:v>
                </c:pt>
                <c:pt idx="184">
                  <c:v>1.1315500000000001</c:v>
                </c:pt>
                <c:pt idx="185">
                  <c:v>1.1190800000000001</c:v>
                </c:pt>
                <c:pt idx="186">
                  <c:v>1.1080800000000002</c:v>
                </c:pt>
                <c:pt idx="187">
                  <c:v>1.1031</c:v>
                </c:pt>
                <c:pt idx="188">
                  <c:v>1.0962799999999999</c:v>
                </c:pt>
                <c:pt idx="189">
                  <c:v>1.09335</c:v>
                </c:pt>
                <c:pt idx="190">
                  <c:v>1.0842799999999999</c:v>
                </c:pt>
                <c:pt idx="191">
                  <c:v>1.0903</c:v>
                </c:pt>
                <c:pt idx="192">
                  <c:v>1.09348</c:v>
                </c:pt>
                <c:pt idx="193">
                  <c:v>1.1005</c:v>
                </c:pt>
                <c:pt idx="194">
                  <c:v>1.0903499999999999</c:v>
                </c:pt>
                <c:pt idx="195">
                  <c:v>1.0965</c:v>
                </c:pt>
                <c:pt idx="196">
                  <c:v>1.0922499999999999</c:v>
                </c:pt>
                <c:pt idx="197">
                  <c:v>1.0952</c:v>
                </c:pt>
                <c:pt idx="198">
                  <c:v>1.08908</c:v>
                </c:pt>
                <c:pt idx="199">
                  <c:v>1.0828499999999999</c:v>
                </c:pt>
                <c:pt idx="200">
                  <c:v>1.07958</c:v>
                </c:pt>
                <c:pt idx="201">
                  <c:v>1.0793999999999999</c:v>
                </c:pt>
                <c:pt idx="202">
                  <c:v>1.0790500000000001</c:v>
                </c:pt>
                <c:pt idx="203">
                  <c:v>1.0806800000000001</c:v>
                </c:pt>
                <c:pt idx="204">
                  <c:v>1.07447</c:v>
                </c:pt>
                <c:pt idx="205">
                  <c:v>1.07572</c:v>
                </c:pt>
                <c:pt idx="206">
                  <c:v>1.0686</c:v>
                </c:pt>
                <c:pt idx="207">
                  <c:v>1.0604800000000001</c:v>
                </c:pt>
                <c:pt idx="208">
                  <c:v>1.0556000000000001</c:v>
                </c:pt>
                <c:pt idx="209">
                  <c:v>1.05708</c:v>
                </c:pt>
                <c:pt idx="210">
                  <c:v>1.05325</c:v>
                </c:pt>
                <c:pt idx="211">
                  <c:v>1.0623800000000001</c:v>
                </c:pt>
                <c:pt idx="212">
                  <c:v>1.06803</c:v>
                </c:pt>
                <c:pt idx="213">
                  <c:v>1.0745800000000001</c:v>
                </c:pt>
                <c:pt idx="214">
                  <c:v>1.0749299999999999</c:v>
                </c:pt>
                <c:pt idx="215">
                  <c:v>1.075</c:v>
                </c:pt>
                <c:pt idx="216">
                  <c:v>1.06955</c:v>
                </c:pt>
                <c:pt idx="217">
                  <c:v>1.0834300000000001</c:v>
                </c:pt>
                <c:pt idx="218">
                  <c:v>1.0790500000000001</c:v>
                </c:pt>
                <c:pt idx="219">
                  <c:v>1.08178</c:v>
                </c:pt>
                <c:pt idx="220">
                  <c:v>1.0848800000000001</c:v>
                </c:pt>
                <c:pt idx="221">
                  <c:v>1.0878000000000001</c:v>
                </c:pt>
                <c:pt idx="222">
                  <c:v>1.0852999999999999</c:v>
                </c:pt>
                <c:pt idx="223">
                  <c:v>1.07728</c:v>
                </c:pt>
                <c:pt idx="224">
                  <c:v>1.07148</c:v>
                </c:pt>
                <c:pt idx="225">
                  <c:v>1.0765</c:v>
                </c:pt>
                <c:pt idx="226">
                  <c:v>1.0724500000000001</c:v>
                </c:pt>
                <c:pt idx="227">
                  <c:v>1.08125</c:v>
                </c:pt>
                <c:pt idx="228">
                  <c:v>1.08748</c:v>
                </c:pt>
                <c:pt idx="229">
                  <c:v>1.0859799999999999</c:v>
                </c:pt>
                <c:pt idx="230">
                  <c:v>1.0799799999999999</c:v>
                </c:pt>
                <c:pt idx="231">
                  <c:v>1.0933999999999999</c:v>
                </c:pt>
                <c:pt idx="232">
                  <c:v>1.09605</c:v>
                </c:pt>
                <c:pt idx="233">
                  <c:v>1.1034999999999999</c:v>
                </c:pt>
                <c:pt idx="234">
                  <c:v>1.0885800000000001</c:v>
                </c:pt>
                <c:pt idx="235">
                  <c:v>1.06633</c:v>
                </c:pt>
                <c:pt idx="236">
                  <c:v>1.0628</c:v>
                </c:pt>
                <c:pt idx="237">
                  <c:v>1.0638300000000001</c:v>
                </c:pt>
                <c:pt idx="238">
                  <c:v>1.06345</c:v>
                </c:pt>
                <c:pt idx="239">
                  <c:v>1.0622</c:v>
                </c:pt>
                <c:pt idx="240">
                  <c:v>1.0598999999999998</c:v>
                </c:pt>
                <c:pt idx="241">
                  <c:v>1.0640499999999999</c:v>
                </c:pt>
                <c:pt idx="242">
                  <c:v>1.05542</c:v>
                </c:pt>
                <c:pt idx="243">
                  <c:v>1.0575000000000001</c:v>
                </c:pt>
                <c:pt idx="244">
                  <c:v>1.0434999999999999</c:v>
                </c:pt>
                <c:pt idx="245">
                  <c:v>1.0339499999999999</c:v>
                </c:pt>
                <c:pt idx="246">
                  <c:v>1.0407500000000001</c:v>
                </c:pt>
                <c:pt idx="247">
                  <c:v>1.0297499999999999</c:v>
                </c:pt>
                <c:pt idx="248">
                  <c:v>1.0441500000000001</c:v>
                </c:pt>
                <c:pt idx="249">
                  <c:v>1.0507</c:v>
                </c:pt>
                <c:pt idx="250">
                  <c:v>1.0420499999999999</c:v>
                </c:pt>
                <c:pt idx="251">
                  <c:v>1.0639799999999999</c:v>
                </c:pt>
                <c:pt idx="252">
                  <c:v>1.0600499999999999</c:v>
                </c:pt>
                <c:pt idx="253">
                  <c:v>1.05755</c:v>
                </c:pt>
                <c:pt idx="254">
                  <c:v>1.0607</c:v>
                </c:pt>
                <c:pt idx="255">
                  <c:v>1.0680500000000002</c:v>
                </c:pt>
                <c:pt idx="256">
                  <c:v>1.05545</c:v>
                </c:pt>
                <c:pt idx="257">
                  <c:v>1.05955</c:v>
                </c:pt>
                <c:pt idx="258">
                  <c:v>1.05203</c:v>
                </c:pt>
                <c:pt idx="259">
                  <c:v>1.05175</c:v>
                </c:pt>
                <c:pt idx="260">
                  <c:v>1.0459000000000001</c:v>
                </c:pt>
                <c:pt idx="261">
                  <c:v>1.0454999999999999</c:v>
                </c:pt>
                <c:pt idx="262">
                  <c:v>1.0438000000000001</c:v>
                </c:pt>
                <c:pt idx="263">
                  <c:v>1.0452299999999999</c:v>
                </c:pt>
                <c:pt idx="264">
                  <c:v>1.0460199999999999</c:v>
                </c:pt>
                <c:pt idx="265">
                  <c:v>1.0420799999999999</c:v>
                </c:pt>
                <c:pt idx="266">
                  <c:v>1.04383</c:v>
                </c:pt>
                <c:pt idx="267">
                  <c:v>1.04078</c:v>
                </c:pt>
                <c:pt idx="268">
                  <c:v>1.03613</c:v>
                </c:pt>
                <c:pt idx="269">
                  <c:v>1.03613</c:v>
                </c:pt>
                <c:pt idx="270">
                  <c:v>1.03613</c:v>
                </c:pt>
                <c:pt idx="271">
                  <c:v>1.034</c:v>
                </c:pt>
                <c:pt idx="272">
                  <c:v>1.0284</c:v>
                </c:pt>
                <c:pt idx="273">
                  <c:v>1.0227299999999999</c:v>
                </c:pt>
                <c:pt idx="274">
                  <c:v>1.0195999999999998</c:v>
                </c:pt>
                <c:pt idx="275">
                  <c:v>1.0231000000000001</c:v>
                </c:pt>
                <c:pt idx="276">
                  <c:v>1.02078</c:v>
                </c:pt>
                <c:pt idx="277">
                  <c:v>1.0201</c:v>
                </c:pt>
                <c:pt idx="278">
                  <c:v>1.0244</c:v>
                </c:pt>
                <c:pt idx="279">
                  <c:v>1.0265</c:v>
                </c:pt>
                <c:pt idx="280">
                  <c:v>1.02268</c:v>
                </c:pt>
                <c:pt idx="281">
                  <c:v>1.01945</c:v>
                </c:pt>
                <c:pt idx="282">
                  <c:v>1.02322</c:v>
                </c:pt>
                <c:pt idx="283">
                  <c:v>1.02583</c:v>
                </c:pt>
                <c:pt idx="284">
                  <c:v>1.0246500000000001</c:v>
                </c:pt>
                <c:pt idx="285">
                  <c:v>1.0234300000000001</c:v>
                </c:pt>
                <c:pt idx="286">
                  <c:v>1.0204500000000001</c:v>
                </c:pt>
                <c:pt idx="287">
                  <c:v>1.01518</c:v>
                </c:pt>
                <c:pt idx="288">
                  <c:v>1.01197</c:v>
                </c:pt>
                <c:pt idx="289">
                  <c:v>1.0098799999999999</c:v>
                </c:pt>
                <c:pt idx="290">
                  <c:v>1.0061</c:v>
                </c:pt>
                <c:pt idx="291">
                  <c:v>1.01135</c:v>
                </c:pt>
                <c:pt idx="292">
                  <c:v>1.01488</c:v>
                </c:pt>
                <c:pt idx="293">
                  <c:v>1.01352</c:v>
                </c:pt>
                <c:pt idx="294">
                  <c:v>1.01363</c:v>
                </c:pt>
                <c:pt idx="295">
                  <c:v>1.0090999999999999</c:v>
                </c:pt>
                <c:pt idx="296">
                  <c:v>1.0139</c:v>
                </c:pt>
                <c:pt idx="297">
                  <c:v>1.01563</c:v>
                </c:pt>
                <c:pt idx="298">
                  <c:v>1.01762</c:v>
                </c:pt>
                <c:pt idx="299">
                  <c:v>1.0087300000000001</c:v>
                </c:pt>
                <c:pt idx="300">
                  <c:v>1.0053799999999999</c:v>
                </c:pt>
                <c:pt idx="301">
                  <c:v>1.0114799999999999</c:v>
                </c:pt>
                <c:pt idx="302">
                  <c:v>1.00393</c:v>
                </c:pt>
                <c:pt idx="303">
                  <c:v>0.99260000000000004</c:v>
                </c:pt>
                <c:pt idx="304">
                  <c:v>0.99093000000000009</c:v>
                </c:pt>
                <c:pt idx="305">
                  <c:v>0.99028000000000005</c:v>
                </c:pt>
                <c:pt idx="306">
                  <c:v>0.98549999999999993</c:v>
                </c:pt>
                <c:pt idx="307">
                  <c:v>0.98292000000000002</c:v>
                </c:pt>
                <c:pt idx="308">
                  <c:v>0.98105000000000009</c:v>
                </c:pt>
                <c:pt idx="309">
                  <c:v>0.98212999999999995</c:v>
                </c:pt>
                <c:pt idx="310">
                  <c:v>0.97665000000000002</c:v>
                </c:pt>
                <c:pt idx="311">
                  <c:v>0.98349999999999993</c:v>
                </c:pt>
                <c:pt idx="312">
                  <c:v>0.98787999999999998</c:v>
                </c:pt>
                <c:pt idx="313">
                  <c:v>0.98433000000000004</c:v>
                </c:pt>
                <c:pt idx="314">
                  <c:v>0.97920000000000007</c:v>
                </c:pt>
                <c:pt idx="315">
                  <c:v>0.97687999999999997</c:v>
                </c:pt>
                <c:pt idx="316">
                  <c:v>0.97382999999999997</c:v>
                </c:pt>
                <c:pt idx="317">
                  <c:v>0.97742999999999991</c:v>
                </c:pt>
                <c:pt idx="318">
                  <c:v>0.9778</c:v>
                </c:pt>
                <c:pt idx="319">
                  <c:v>0.97663</c:v>
                </c:pt>
                <c:pt idx="320">
                  <c:v>0.96672999999999998</c:v>
                </c:pt>
                <c:pt idx="321">
                  <c:v>0.95897999999999994</c:v>
                </c:pt>
                <c:pt idx="322">
                  <c:v>0.95594999999999997</c:v>
                </c:pt>
                <c:pt idx="323">
                  <c:v>0.95818000000000003</c:v>
                </c:pt>
                <c:pt idx="324">
                  <c:v>0.96019999999999994</c:v>
                </c:pt>
                <c:pt idx="325">
                  <c:v>0.95613000000000004</c:v>
                </c:pt>
                <c:pt idx="326">
                  <c:v>0.95617999999999992</c:v>
                </c:pt>
                <c:pt idx="327">
                  <c:v>0.95582999999999996</c:v>
                </c:pt>
                <c:pt idx="328">
                  <c:v>0.95047999999999999</c:v>
                </c:pt>
                <c:pt idx="329">
                  <c:v>0.94787999999999994</c:v>
                </c:pt>
                <c:pt idx="330">
                  <c:v>0.95255000000000001</c:v>
                </c:pt>
                <c:pt idx="331">
                  <c:v>0.95574999999999999</c:v>
                </c:pt>
                <c:pt idx="332">
                  <c:v>0.95733000000000001</c:v>
                </c:pt>
                <c:pt idx="333">
                  <c:v>0.96238000000000001</c:v>
                </c:pt>
                <c:pt idx="334">
                  <c:v>0.95834999999999992</c:v>
                </c:pt>
                <c:pt idx="335">
                  <c:v>0.95343</c:v>
                </c:pt>
                <c:pt idx="336">
                  <c:v>0.94873000000000007</c:v>
                </c:pt>
                <c:pt idx="337">
                  <c:v>0.94245000000000001</c:v>
                </c:pt>
                <c:pt idx="338">
                  <c:v>0.94093000000000004</c:v>
                </c:pt>
                <c:pt idx="339">
                  <c:v>0.94099999999999995</c:v>
                </c:pt>
                <c:pt idx="340">
                  <c:v>0.94183000000000006</c:v>
                </c:pt>
                <c:pt idx="341">
                  <c:v>0.93877999999999995</c:v>
                </c:pt>
                <c:pt idx="342">
                  <c:v>0.93683000000000005</c:v>
                </c:pt>
                <c:pt idx="343">
                  <c:v>0.92693000000000003</c:v>
                </c:pt>
                <c:pt idx="344">
                  <c:v>0.93028000000000011</c:v>
                </c:pt>
                <c:pt idx="345">
                  <c:v>0.92099999999999993</c:v>
                </c:pt>
                <c:pt idx="346">
                  <c:v>0.90944999999999998</c:v>
                </c:pt>
                <c:pt idx="347">
                  <c:v>0.90944999999999998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BA-D640-9F27-2467D3A50CE0}"/>
            </c:ext>
          </c:extLst>
        </c:ser>
        <c:ser>
          <c:idx val="2"/>
          <c:order val="1"/>
          <c:tx>
            <c:strRef>
              <c:f>'Cot-Px'!$D$5</c:f>
              <c:strCache>
                <c:ptCount val="1"/>
                <c:pt idx="0">
                  <c:v>Precio completo</c:v>
                </c:pt>
              </c:strCache>
            </c:strRef>
          </c:tx>
          <c:spPr>
            <a:ln w="25400">
              <a:solidFill>
                <a:srgbClr val="999933"/>
              </a:solidFill>
              <a:prstDash val="solid"/>
            </a:ln>
          </c:spPr>
          <c:marker>
            <c:symbol val="none"/>
          </c:marker>
          <c:cat>
            <c:numRef>
              <c:f>'Cot-Px'!$A$6:$A$492</c:f>
              <c:numCache>
                <c:formatCode>dd\-mmm\-yyyy\ ddd</c:formatCode>
                <c:ptCount val="487"/>
                <c:pt idx="0">
                  <c:v>42124</c:v>
                </c:pt>
                <c:pt idx="1">
                  <c:v>42123</c:v>
                </c:pt>
                <c:pt idx="2">
                  <c:v>42122</c:v>
                </c:pt>
                <c:pt idx="3">
                  <c:v>42121</c:v>
                </c:pt>
                <c:pt idx="4">
                  <c:v>42118</c:v>
                </c:pt>
                <c:pt idx="5">
                  <c:v>42117</c:v>
                </c:pt>
                <c:pt idx="6">
                  <c:v>42116</c:v>
                </c:pt>
                <c:pt idx="7">
                  <c:v>42115</c:v>
                </c:pt>
                <c:pt idx="8">
                  <c:v>42114</c:v>
                </c:pt>
                <c:pt idx="9">
                  <c:v>42111</c:v>
                </c:pt>
                <c:pt idx="10">
                  <c:v>42110</c:v>
                </c:pt>
                <c:pt idx="11">
                  <c:v>42109</c:v>
                </c:pt>
                <c:pt idx="12">
                  <c:v>42108</c:v>
                </c:pt>
                <c:pt idx="13">
                  <c:v>42107</c:v>
                </c:pt>
                <c:pt idx="14">
                  <c:v>42104</c:v>
                </c:pt>
                <c:pt idx="15">
                  <c:v>42103</c:v>
                </c:pt>
                <c:pt idx="16">
                  <c:v>42102</c:v>
                </c:pt>
                <c:pt idx="17">
                  <c:v>42101</c:v>
                </c:pt>
                <c:pt idx="18">
                  <c:v>42100</c:v>
                </c:pt>
                <c:pt idx="19">
                  <c:v>42097</c:v>
                </c:pt>
                <c:pt idx="20">
                  <c:v>42096</c:v>
                </c:pt>
                <c:pt idx="21">
                  <c:v>42095</c:v>
                </c:pt>
                <c:pt idx="22">
                  <c:v>42094</c:v>
                </c:pt>
                <c:pt idx="23">
                  <c:v>42093</c:v>
                </c:pt>
                <c:pt idx="24">
                  <c:v>42090</c:v>
                </c:pt>
                <c:pt idx="25">
                  <c:v>42089</c:v>
                </c:pt>
                <c:pt idx="26">
                  <c:v>42088</c:v>
                </c:pt>
                <c:pt idx="27">
                  <c:v>42087</c:v>
                </c:pt>
                <c:pt idx="28">
                  <c:v>42086</c:v>
                </c:pt>
                <c:pt idx="29">
                  <c:v>42083</c:v>
                </c:pt>
                <c:pt idx="30">
                  <c:v>42082</c:v>
                </c:pt>
                <c:pt idx="31">
                  <c:v>42081</c:v>
                </c:pt>
                <c:pt idx="32">
                  <c:v>42080</c:v>
                </c:pt>
                <c:pt idx="33">
                  <c:v>42079</c:v>
                </c:pt>
                <c:pt idx="34">
                  <c:v>42076</c:v>
                </c:pt>
                <c:pt idx="35">
                  <c:v>42075</c:v>
                </c:pt>
                <c:pt idx="36">
                  <c:v>42074</c:v>
                </c:pt>
                <c:pt idx="37">
                  <c:v>42073</c:v>
                </c:pt>
                <c:pt idx="38">
                  <c:v>42072</c:v>
                </c:pt>
                <c:pt idx="39">
                  <c:v>42069</c:v>
                </c:pt>
                <c:pt idx="40">
                  <c:v>42068</c:v>
                </c:pt>
                <c:pt idx="41">
                  <c:v>42067</c:v>
                </c:pt>
                <c:pt idx="42">
                  <c:v>42066</c:v>
                </c:pt>
                <c:pt idx="43">
                  <c:v>42065</c:v>
                </c:pt>
                <c:pt idx="44">
                  <c:v>42062</c:v>
                </c:pt>
                <c:pt idx="45">
                  <c:v>42061</c:v>
                </c:pt>
                <c:pt idx="46">
                  <c:v>42060</c:v>
                </c:pt>
                <c:pt idx="47">
                  <c:v>42059</c:v>
                </c:pt>
                <c:pt idx="48">
                  <c:v>42058</c:v>
                </c:pt>
                <c:pt idx="49">
                  <c:v>42055</c:v>
                </c:pt>
                <c:pt idx="50">
                  <c:v>42054</c:v>
                </c:pt>
                <c:pt idx="51">
                  <c:v>42053</c:v>
                </c:pt>
                <c:pt idx="52">
                  <c:v>42052</c:v>
                </c:pt>
                <c:pt idx="53">
                  <c:v>42051</c:v>
                </c:pt>
                <c:pt idx="54">
                  <c:v>42048</c:v>
                </c:pt>
                <c:pt idx="55">
                  <c:v>42047</c:v>
                </c:pt>
                <c:pt idx="56">
                  <c:v>42046</c:v>
                </c:pt>
                <c:pt idx="57">
                  <c:v>42045</c:v>
                </c:pt>
                <c:pt idx="58">
                  <c:v>42044</c:v>
                </c:pt>
                <c:pt idx="59">
                  <c:v>42041</c:v>
                </c:pt>
                <c:pt idx="60">
                  <c:v>42040</c:v>
                </c:pt>
                <c:pt idx="61">
                  <c:v>42039</c:v>
                </c:pt>
                <c:pt idx="62">
                  <c:v>42038</c:v>
                </c:pt>
                <c:pt idx="63">
                  <c:v>42037</c:v>
                </c:pt>
                <c:pt idx="64">
                  <c:v>42034</c:v>
                </c:pt>
                <c:pt idx="65">
                  <c:v>42033</c:v>
                </c:pt>
                <c:pt idx="66">
                  <c:v>42032</c:v>
                </c:pt>
                <c:pt idx="67">
                  <c:v>42031</c:v>
                </c:pt>
                <c:pt idx="68">
                  <c:v>42030</c:v>
                </c:pt>
                <c:pt idx="69">
                  <c:v>42027</c:v>
                </c:pt>
                <c:pt idx="70">
                  <c:v>42026</c:v>
                </c:pt>
                <c:pt idx="71">
                  <c:v>42025</c:v>
                </c:pt>
                <c:pt idx="72">
                  <c:v>42024</c:v>
                </c:pt>
                <c:pt idx="73">
                  <c:v>42023</c:v>
                </c:pt>
                <c:pt idx="74">
                  <c:v>42020</c:v>
                </c:pt>
                <c:pt idx="75">
                  <c:v>42019</c:v>
                </c:pt>
                <c:pt idx="76">
                  <c:v>42018</c:v>
                </c:pt>
                <c:pt idx="77">
                  <c:v>42017</c:v>
                </c:pt>
                <c:pt idx="78">
                  <c:v>42016</c:v>
                </c:pt>
                <c:pt idx="79">
                  <c:v>42013</c:v>
                </c:pt>
                <c:pt idx="80">
                  <c:v>42012</c:v>
                </c:pt>
                <c:pt idx="81">
                  <c:v>42011</c:v>
                </c:pt>
                <c:pt idx="82">
                  <c:v>42010</c:v>
                </c:pt>
                <c:pt idx="83">
                  <c:v>42009</c:v>
                </c:pt>
                <c:pt idx="84">
                  <c:v>42006</c:v>
                </c:pt>
                <c:pt idx="85">
                  <c:v>42005</c:v>
                </c:pt>
                <c:pt idx="86">
                  <c:v>42004</c:v>
                </c:pt>
                <c:pt idx="87">
                  <c:v>42003</c:v>
                </c:pt>
                <c:pt idx="88">
                  <c:v>42002</c:v>
                </c:pt>
                <c:pt idx="89">
                  <c:v>41999</c:v>
                </c:pt>
                <c:pt idx="90">
                  <c:v>41998</c:v>
                </c:pt>
                <c:pt idx="91">
                  <c:v>41997</c:v>
                </c:pt>
                <c:pt idx="92">
                  <c:v>41996</c:v>
                </c:pt>
                <c:pt idx="93">
                  <c:v>41995</c:v>
                </c:pt>
                <c:pt idx="94">
                  <c:v>41992</c:v>
                </c:pt>
                <c:pt idx="95">
                  <c:v>41991</c:v>
                </c:pt>
                <c:pt idx="96">
                  <c:v>41990</c:v>
                </c:pt>
                <c:pt idx="97">
                  <c:v>41989</c:v>
                </c:pt>
                <c:pt idx="98">
                  <c:v>41988</c:v>
                </c:pt>
                <c:pt idx="99">
                  <c:v>41985</c:v>
                </c:pt>
                <c:pt idx="100">
                  <c:v>41984</c:v>
                </c:pt>
                <c:pt idx="101">
                  <c:v>41983</c:v>
                </c:pt>
                <c:pt idx="102">
                  <c:v>41982</c:v>
                </c:pt>
                <c:pt idx="103">
                  <c:v>41981</c:v>
                </c:pt>
                <c:pt idx="104">
                  <c:v>41978</c:v>
                </c:pt>
                <c:pt idx="105">
                  <c:v>41977</c:v>
                </c:pt>
                <c:pt idx="106">
                  <c:v>41976</c:v>
                </c:pt>
                <c:pt idx="107">
                  <c:v>41975</c:v>
                </c:pt>
                <c:pt idx="108">
                  <c:v>41974</c:v>
                </c:pt>
                <c:pt idx="109">
                  <c:v>41971</c:v>
                </c:pt>
                <c:pt idx="110">
                  <c:v>41970</c:v>
                </c:pt>
                <c:pt idx="111">
                  <c:v>41969</c:v>
                </c:pt>
                <c:pt idx="112">
                  <c:v>41968</c:v>
                </c:pt>
                <c:pt idx="113">
                  <c:v>41967</c:v>
                </c:pt>
                <c:pt idx="114">
                  <c:v>41964</c:v>
                </c:pt>
                <c:pt idx="115">
                  <c:v>41963</c:v>
                </c:pt>
                <c:pt idx="116">
                  <c:v>41962</c:v>
                </c:pt>
                <c:pt idx="117">
                  <c:v>41961</c:v>
                </c:pt>
                <c:pt idx="118">
                  <c:v>41960</c:v>
                </c:pt>
                <c:pt idx="119">
                  <c:v>41957</c:v>
                </c:pt>
                <c:pt idx="120">
                  <c:v>41956</c:v>
                </c:pt>
                <c:pt idx="121">
                  <c:v>41955</c:v>
                </c:pt>
                <c:pt idx="122">
                  <c:v>41954</c:v>
                </c:pt>
                <c:pt idx="123">
                  <c:v>41953</c:v>
                </c:pt>
                <c:pt idx="124">
                  <c:v>41950</c:v>
                </c:pt>
                <c:pt idx="125">
                  <c:v>41949</c:v>
                </c:pt>
                <c:pt idx="126">
                  <c:v>41948</c:v>
                </c:pt>
                <c:pt idx="127">
                  <c:v>41947</c:v>
                </c:pt>
                <c:pt idx="128">
                  <c:v>41946</c:v>
                </c:pt>
                <c:pt idx="129">
                  <c:v>41943</c:v>
                </c:pt>
                <c:pt idx="130">
                  <c:v>41942</c:v>
                </c:pt>
                <c:pt idx="131">
                  <c:v>41941</c:v>
                </c:pt>
                <c:pt idx="132">
                  <c:v>41940</c:v>
                </c:pt>
                <c:pt idx="133">
                  <c:v>41939</c:v>
                </c:pt>
                <c:pt idx="134">
                  <c:v>41936</c:v>
                </c:pt>
                <c:pt idx="135">
                  <c:v>41935</c:v>
                </c:pt>
                <c:pt idx="136">
                  <c:v>41934</c:v>
                </c:pt>
                <c:pt idx="137">
                  <c:v>41933</c:v>
                </c:pt>
                <c:pt idx="138">
                  <c:v>41932</c:v>
                </c:pt>
                <c:pt idx="139">
                  <c:v>41929</c:v>
                </c:pt>
                <c:pt idx="140">
                  <c:v>41928</c:v>
                </c:pt>
                <c:pt idx="141">
                  <c:v>41927</c:v>
                </c:pt>
                <c:pt idx="142">
                  <c:v>41926</c:v>
                </c:pt>
                <c:pt idx="143">
                  <c:v>41925</c:v>
                </c:pt>
                <c:pt idx="144">
                  <c:v>41922</c:v>
                </c:pt>
                <c:pt idx="145">
                  <c:v>41921</c:v>
                </c:pt>
                <c:pt idx="146">
                  <c:v>41920</c:v>
                </c:pt>
                <c:pt idx="147">
                  <c:v>41919</c:v>
                </c:pt>
                <c:pt idx="148">
                  <c:v>41918</c:v>
                </c:pt>
                <c:pt idx="149">
                  <c:v>41915</c:v>
                </c:pt>
                <c:pt idx="150">
                  <c:v>41914</c:v>
                </c:pt>
                <c:pt idx="151">
                  <c:v>41913</c:v>
                </c:pt>
                <c:pt idx="152">
                  <c:v>41912</c:v>
                </c:pt>
                <c:pt idx="153">
                  <c:v>41911</c:v>
                </c:pt>
                <c:pt idx="154">
                  <c:v>41908</c:v>
                </c:pt>
                <c:pt idx="155">
                  <c:v>41907</c:v>
                </c:pt>
                <c:pt idx="156">
                  <c:v>41906</c:v>
                </c:pt>
                <c:pt idx="157">
                  <c:v>41905</c:v>
                </c:pt>
                <c:pt idx="158">
                  <c:v>41904</c:v>
                </c:pt>
                <c:pt idx="159">
                  <c:v>41901</c:v>
                </c:pt>
                <c:pt idx="160">
                  <c:v>41900</c:v>
                </c:pt>
                <c:pt idx="161">
                  <c:v>41899</c:v>
                </c:pt>
                <c:pt idx="162">
                  <c:v>41898</c:v>
                </c:pt>
                <c:pt idx="163">
                  <c:v>41897</c:v>
                </c:pt>
                <c:pt idx="164">
                  <c:v>41894</c:v>
                </c:pt>
                <c:pt idx="165">
                  <c:v>41893</c:v>
                </c:pt>
                <c:pt idx="166">
                  <c:v>41892</c:v>
                </c:pt>
                <c:pt idx="167">
                  <c:v>41891</c:v>
                </c:pt>
                <c:pt idx="168">
                  <c:v>41890</c:v>
                </c:pt>
                <c:pt idx="169">
                  <c:v>41887</c:v>
                </c:pt>
                <c:pt idx="170">
                  <c:v>41886</c:v>
                </c:pt>
                <c:pt idx="171">
                  <c:v>41885</c:v>
                </c:pt>
                <c:pt idx="172">
                  <c:v>41884</c:v>
                </c:pt>
                <c:pt idx="173">
                  <c:v>41883</c:v>
                </c:pt>
                <c:pt idx="174">
                  <c:v>41880</c:v>
                </c:pt>
                <c:pt idx="175">
                  <c:v>41879</c:v>
                </c:pt>
                <c:pt idx="176">
                  <c:v>41878</c:v>
                </c:pt>
                <c:pt idx="177">
                  <c:v>41877</c:v>
                </c:pt>
                <c:pt idx="178">
                  <c:v>41876</c:v>
                </c:pt>
                <c:pt idx="179">
                  <c:v>41873</c:v>
                </c:pt>
                <c:pt idx="180">
                  <c:v>41872</c:v>
                </c:pt>
                <c:pt idx="181">
                  <c:v>41871</c:v>
                </c:pt>
                <c:pt idx="182">
                  <c:v>41870</c:v>
                </c:pt>
                <c:pt idx="183">
                  <c:v>41869</c:v>
                </c:pt>
                <c:pt idx="184">
                  <c:v>41866</c:v>
                </c:pt>
                <c:pt idx="185">
                  <c:v>41865</c:v>
                </c:pt>
                <c:pt idx="186">
                  <c:v>41864</c:v>
                </c:pt>
                <c:pt idx="187">
                  <c:v>41863</c:v>
                </c:pt>
                <c:pt idx="188">
                  <c:v>41862</c:v>
                </c:pt>
                <c:pt idx="189">
                  <c:v>41859</c:v>
                </c:pt>
                <c:pt idx="190">
                  <c:v>41858</c:v>
                </c:pt>
                <c:pt idx="191">
                  <c:v>41857</c:v>
                </c:pt>
                <c:pt idx="192">
                  <c:v>41856</c:v>
                </c:pt>
                <c:pt idx="193">
                  <c:v>41855</c:v>
                </c:pt>
                <c:pt idx="194">
                  <c:v>41852</c:v>
                </c:pt>
                <c:pt idx="195">
                  <c:v>41851</c:v>
                </c:pt>
                <c:pt idx="196">
                  <c:v>41850</c:v>
                </c:pt>
                <c:pt idx="197">
                  <c:v>41849</c:v>
                </c:pt>
                <c:pt idx="198">
                  <c:v>41848</c:v>
                </c:pt>
                <c:pt idx="199">
                  <c:v>41845</c:v>
                </c:pt>
                <c:pt idx="200">
                  <c:v>41844</c:v>
                </c:pt>
                <c:pt idx="201">
                  <c:v>41843</c:v>
                </c:pt>
                <c:pt idx="202">
                  <c:v>41842</c:v>
                </c:pt>
                <c:pt idx="203">
                  <c:v>41841</c:v>
                </c:pt>
                <c:pt idx="204">
                  <c:v>41838</c:v>
                </c:pt>
                <c:pt idx="205">
                  <c:v>41837</c:v>
                </c:pt>
                <c:pt idx="206">
                  <c:v>41836</c:v>
                </c:pt>
                <c:pt idx="207">
                  <c:v>41835</c:v>
                </c:pt>
                <c:pt idx="208">
                  <c:v>41834</c:v>
                </c:pt>
                <c:pt idx="209">
                  <c:v>41831</c:v>
                </c:pt>
                <c:pt idx="210">
                  <c:v>41830</c:v>
                </c:pt>
                <c:pt idx="211">
                  <c:v>41829</c:v>
                </c:pt>
                <c:pt idx="212">
                  <c:v>41828</c:v>
                </c:pt>
                <c:pt idx="213">
                  <c:v>41827</c:v>
                </c:pt>
                <c:pt idx="214">
                  <c:v>41824</c:v>
                </c:pt>
                <c:pt idx="215">
                  <c:v>41823</c:v>
                </c:pt>
                <c:pt idx="216">
                  <c:v>41822</c:v>
                </c:pt>
                <c:pt idx="217">
                  <c:v>41821</c:v>
                </c:pt>
                <c:pt idx="218">
                  <c:v>41820</c:v>
                </c:pt>
                <c:pt idx="219">
                  <c:v>41817</c:v>
                </c:pt>
                <c:pt idx="220">
                  <c:v>41816</c:v>
                </c:pt>
                <c:pt idx="221">
                  <c:v>41815</c:v>
                </c:pt>
                <c:pt idx="222">
                  <c:v>41814</c:v>
                </c:pt>
                <c:pt idx="223">
                  <c:v>41813</c:v>
                </c:pt>
                <c:pt idx="224">
                  <c:v>41810</c:v>
                </c:pt>
                <c:pt idx="225">
                  <c:v>41809</c:v>
                </c:pt>
                <c:pt idx="226">
                  <c:v>41808</c:v>
                </c:pt>
                <c:pt idx="227">
                  <c:v>41807</c:v>
                </c:pt>
                <c:pt idx="228">
                  <c:v>41806</c:v>
                </c:pt>
                <c:pt idx="229">
                  <c:v>41803</c:v>
                </c:pt>
                <c:pt idx="230">
                  <c:v>41802</c:v>
                </c:pt>
                <c:pt idx="231">
                  <c:v>41801</c:v>
                </c:pt>
                <c:pt idx="232">
                  <c:v>41800</c:v>
                </c:pt>
                <c:pt idx="233">
                  <c:v>41799</c:v>
                </c:pt>
                <c:pt idx="234">
                  <c:v>41796</c:v>
                </c:pt>
                <c:pt idx="235">
                  <c:v>41795</c:v>
                </c:pt>
                <c:pt idx="236">
                  <c:v>41794</c:v>
                </c:pt>
                <c:pt idx="237">
                  <c:v>41793</c:v>
                </c:pt>
                <c:pt idx="238">
                  <c:v>41792</c:v>
                </c:pt>
                <c:pt idx="239">
                  <c:v>41789</c:v>
                </c:pt>
                <c:pt idx="240">
                  <c:v>41788</c:v>
                </c:pt>
                <c:pt idx="241">
                  <c:v>41787</c:v>
                </c:pt>
                <c:pt idx="242">
                  <c:v>41786</c:v>
                </c:pt>
                <c:pt idx="243">
                  <c:v>41785</c:v>
                </c:pt>
                <c:pt idx="244">
                  <c:v>41782</c:v>
                </c:pt>
                <c:pt idx="245">
                  <c:v>41781</c:v>
                </c:pt>
                <c:pt idx="246">
                  <c:v>41780</c:v>
                </c:pt>
                <c:pt idx="247">
                  <c:v>41779</c:v>
                </c:pt>
                <c:pt idx="248">
                  <c:v>41778</c:v>
                </c:pt>
                <c:pt idx="249">
                  <c:v>41775</c:v>
                </c:pt>
                <c:pt idx="250">
                  <c:v>41774</c:v>
                </c:pt>
                <c:pt idx="251">
                  <c:v>41773</c:v>
                </c:pt>
                <c:pt idx="252">
                  <c:v>41772</c:v>
                </c:pt>
                <c:pt idx="253">
                  <c:v>41771</c:v>
                </c:pt>
                <c:pt idx="254">
                  <c:v>41768</c:v>
                </c:pt>
                <c:pt idx="255">
                  <c:v>41767</c:v>
                </c:pt>
                <c:pt idx="256">
                  <c:v>41766</c:v>
                </c:pt>
                <c:pt idx="257">
                  <c:v>41765</c:v>
                </c:pt>
                <c:pt idx="258">
                  <c:v>41764</c:v>
                </c:pt>
                <c:pt idx="259">
                  <c:v>41761</c:v>
                </c:pt>
                <c:pt idx="260">
                  <c:v>41760</c:v>
                </c:pt>
                <c:pt idx="261">
                  <c:v>41759</c:v>
                </c:pt>
                <c:pt idx="262">
                  <c:v>41758</c:v>
                </c:pt>
                <c:pt idx="263">
                  <c:v>41757</c:v>
                </c:pt>
                <c:pt idx="264">
                  <c:v>41754</c:v>
                </c:pt>
                <c:pt idx="265">
                  <c:v>41753</c:v>
                </c:pt>
                <c:pt idx="266">
                  <c:v>41752</c:v>
                </c:pt>
                <c:pt idx="267">
                  <c:v>41751</c:v>
                </c:pt>
                <c:pt idx="268">
                  <c:v>41750</c:v>
                </c:pt>
                <c:pt idx="269">
                  <c:v>41747</c:v>
                </c:pt>
                <c:pt idx="270">
                  <c:v>41746</c:v>
                </c:pt>
                <c:pt idx="271">
                  <c:v>41745</c:v>
                </c:pt>
                <c:pt idx="272">
                  <c:v>41744</c:v>
                </c:pt>
                <c:pt idx="273">
                  <c:v>41743</c:v>
                </c:pt>
                <c:pt idx="274">
                  <c:v>41740</c:v>
                </c:pt>
                <c:pt idx="275">
                  <c:v>41739</c:v>
                </c:pt>
                <c:pt idx="276">
                  <c:v>41738</c:v>
                </c:pt>
                <c:pt idx="277">
                  <c:v>41737</c:v>
                </c:pt>
                <c:pt idx="278">
                  <c:v>41736</c:v>
                </c:pt>
                <c:pt idx="279">
                  <c:v>41733</c:v>
                </c:pt>
                <c:pt idx="280">
                  <c:v>41732</c:v>
                </c:pt>
                <c:pt idx="281">
                  <c:v>41731</c:v>
                </c:pt>
                <c:pt idx="282">
                  <c:v>41730</c:v>
                </c:pt>
                <c:pt idx="283">
                  <c:v>41729</c:v>
                </c:pt>
                <c:pt idx="284">
                  <c:v>41726</c:v>
                </c:pt>
                <c:pt idx="285">
                  <c:v>41725</c:v>
                </c:pt>
                <c:pt idx="286">
                  <c:v>41724</c:v>
                </c:pt>
                <c:pt idx="287">
                  <c:v>41723</c:v>
                </c:pt>
                <c:pt idx="288">
                  <c:v>41722</c:v>
                </c:pt>
                <c:pt idx="289">
                  <c:v>41719</c:v>
                </c:pt>
                <c:pt idx="290">
                  <c:v>41718</c:v>
                </c:pt>
                <c:pt idx="291">
                  <c:v>41717</c:v>
                </c:pt>
                <c:pt idx="292">
                  <c:v>41716</c:v>
                </c:pt>
                <c:pt idx="293">
                  <c:v>41715</c:v>
                </c:pt>
                <c:pt idx="294">
                  <c:v>41712</c:v>
                </c:pt>
                <c:pt idx="295">
                  <c:v>41711</c:v>
                </c:pt>
                <c:pt idx="296">
                  <c:v>41710</c:v>
                </c:pt>
                <c:pt idx="297">
                  <c:v>41709</c:v>
                </c:pt>
                <c:pt idx="298">
                  <c:v>41708</c:v>
                </c:pt>
                <c:pt idx="299">
                  <c:v>41705</c:v>
                </c:pt>
                <c:pt idx="300">
                  <c:v>41704</c:v>
                </c:pt>
                <c:pt idx="301">
                  <c:v>41703</c:v>
                </c:pt>
                <c:pt idx="302">
                  <c:v>41702</c:v>
                </c:pt>
                <c:pt idx="303">
                  <c:v>41701</c:v>
                </c:pt>
                <c:pt idx="304">
                  <c:v>41698</c:v>
                </c:pt>
                <c:pt idx="305">
                  <c:v>41697</c:v>
                </c:pt>
                <c:pt idx="306">
                  <c:v>41696</c:v>
                </c:pt>
                <c:pt idx="307">
                  <c:v>41695</c:v>
                </c:pt>
                <c:pt idx="308">
                  <c:v>41694</c:v>
                </c:pt>
                <c:pt idx="309">
                  <c:v>41691</c:v>
                </c:pt>
                <c:pt idx="310">
                  <c:v>41690</c:v>
                </c:pt>
                <c:pt idx="311">
                  <c:v>41689</c:v>
                </c:pt>
                <c:pt idx="312">
                  <c:v>41688</c:v>
                </c:pt>
                <c:pt idx="313">
                  <c:v>41687</c:v>
                </c:pt>
                <c:pt idx="314">
                  <c:v>41684</c:v>
                </c:pt>
                <c:pt idx="315">
                  <c:v>41683</c:v>
                </c:pt>
                <c:pt idx="316">
                  <c:v>41682</c:v>
                </c:pt>
                <c:pt idx="317">
                  <c:v>41681</c:v>
                </c:pt>
                <c:pt idx="318">
                  <c:v>41680</c:v>
                </c:pt>
                <c:pt idx="319">
                  <c:v>41677</c:v>
                </c:pt>
                <c:pt idx="320">
                  <c:v>41676</c:v>
                </c:pt>
                <c:pt idx="321">
                  <c:v>41675</c:v>
                </c:pt>
                <c:pt idx="322">
                  <c:v>41674</c:v>
                </c:pt>
                <c:pt idx="323">
                  <c:v>41673</c:v>
                </c:pt>
                <c:pt idx="324">
                  <c:v>41670</c:v>
                </c:pt>
                <c:pt idx="325">
                  <c:v>41669</c:v>
                </c:pt>
                <c:pt idx="326">
                  <c:v>41668</c:v>
                </c:pt>
                <c:pt idx="327">
                  <c:v>41667</c:v>
                </c:pt>
                <c:pt idx="328">
                  <c:v>41666</c:v>
                </c:pt>
                <c:pt idx="329">
                  <c:v>41663</c:v>
                </c:pt>
                <c:pt idx="330">
                  <c:v>41662</c:v>
                </c:pt>
                <c:pt idx="331">
                  <c:v>41661</c:v>
                </c:pt>
                <c:pt idx="332">
                  <c:v>41660</c:v>
                </c:pt>
                <c:pt idx="333">
                  <c:v>41659</c:v>
                </c:pt>
                <c:pt idx="334">
                  <c:v>41656</c:v>
                </c:pt>
                <c:pt idx="335">
                  <c:v>41655</c:v>
                </c:pt>
                <c:pt idx="336">
                  <c:v>41654</c:v>
                </c:pt>
                <c:pt idx="337">
                  <c:v>41653</c:v>
                </c:pt>
                <c:pt idx="338">
                  <c:v>41652</c:v>
                </c:pt>
                <c:pt idx="339">
                  <c:v>41649</c:v>
                </c:pt>
                <c:pt idx="340">
                  <c:v>41648</c:v>
                </c:pt>
                <c:pt idx="341">
                  <c:v>41647</c:v>
                </c:pt>
                <c:pt idx="342">
                  <c:v>41646</c:v>
                </c:pt>
                <c:pt idx="343">
                  <c:v>41645</c:v>
                </c:pt>
                <c:pt idx="344">
                  <c:v>41642</c:v>
                </c:pt>
                <c:pt idx="345">
                  <c:v>41641</c:v>
                </c:pt>
                <c:pt idx="346">
                  <c:v>41640</c:v>
                </c:pt>
                <c:pt idx="347">
                  <c:v>41639</c:v>
                </c:pt>
              </c:numCache>
            </c:numRef>
          </c:cat>
          <c:val>
            <c:numRef>
              <c:f>'Cot-Px'!$D$6:$D$492</c:f>
              <c:numCache>
                <c:formatCode>0.000%</c:formatCode>
                <c:ptCount val="487"/>
                <c:pt idx="0">
                  <c:v>1.331741095890411</c:v>
                </c:pt>
                <c:pt idx="1">
                  <c:v>1.3293760273972604</c:v>
                </c:pt>
                <c:pt idx="2">
                  <c:v>1.3640409589041094</c:v>
                </c:pt>
                <c:pt idx="3">
                  <c:v>1.366025890410959</c:v>
                </c:pt>
                <c:pt idx="4">
                  <c:v>1.3572506849315069</c:v>
                </c:pt>
                <c:pt idx="5">
                  <c:v>1.3627356164383564</c:v>
                </c:pt>
                <c:pt idx="6">
                  <c:v>1.3625205479452054</c:v>
                </c:pt>
                <c:pt idx="7">
                  <c:v>1.3444554794520549</c:v>
                </c:pt>
                <c:pt idx="8">
                  <c:v>1.348590410958904</c:v>
                </c:pt>
                <c:pt idx="9">
                  <c:v>1.3527952054794521</c:v>
                </c:pt>
                <c:pt idx="10">
                  <c:v>1.3741601369863012</c:v>
                </c:pt>
                <c:pt idx="11">
                  <c:v>1.3919150684931507</c:v>
                </c:pt>
                <c:pt idx="12">
                  <c:v>1.3790299999999998</c:v>
                </c:pt>
                <c:pt idx="13">
                  <c:v>1.4014649315068495</c:v>
                </c:pt>
                <c:pt idx="14">
                  <c:v>1.4055397260273972</c:v>
                </c:pt>
                <c:pt idx="15">
                  <c:v>1.4040546575342465</c:v>
                </c:pt>
                <c:pt idx="16">
                  <c:v>1.4171095890410959</c:v>
                </c:pt>
                <c:pt idx="17">
                  <c:v>1.4231445205479454</c:v>
                </c:pt>
                <c:pt idx="18">
                  <c:v>1.4183594520547944</c:v>
                </c:pt>
                <c:pt idx="19">
                  <c:v>1.4180142465753425</c:v>
                </c:pt>
                <c:pt idx="20">
                  <c:v>1.4178991780821917</c:v>
                </c:pt>
                <c:pt idx="21">
                  <c:v>1.4249041095890413</c:v>
                </c:pt>
                <c:pt idx="22">
                  <c:v>1.4222890410958906</c:v>
                </c:pt>
                <c:pt idx="23">
                  <c:v>1.4082739726027398</c:v>
                </c:pt>
                <c:pt idx="24">
                  <c:v>1.3992087671232878</c:v>
                </c:pt>
                <c:pt idx="25">
                  <c:v>1.4108136986301369</c:v>
                </c:pt>
                <c:pt idx="26">
                  <c:v>1.3981986301369864</c:v>
                </c:pt>
                <c:pt idx="27">
                  <c:v>1.3969635616438356</c:v>
                </c:pt>
                <c:pt idx="28">
                  <c:v>1.4041884931506849</c:v>
                </c:pt>
                <c:pt idx="29">
                  <c:v>1.4156232876712327</c:v>
                </c:pt>
                <c:pt idx="30">
                  <c:v>1.4060582191780822</c:v>
                </c:pt>
                <c:pt idx="31">
                  <c:v>1.4090731506849312</c:v>
                </c:pt>
                <c:pt idx="32">
                  <c:v>1.4248780821917808</c:v>
                </c:pt>
                <c:pt idx="33">
                  <c:v>1.4378930136986299</c:v>
                </c:pt>
                <c:pt idx="34">
                  <c:v>1.4343178082191781</c:v>
                </c:pt>
                <c:pt idx="35">
                  <c:v>1.4349027397260272</c:v>
                </c:pt>
                <c:pt idx="36">
                  <c:v>1.4293876712328768</c:v>
                </c:pt>
                <c:pt idx="37">
                  <c:v>1.3966526027397261</c:v>
                </c:pt>
                <c:pt idx="38">
                  <c:v>1.3763875342465752</c:v>
                </c:pt>
                <c:pt idx="39">
                  <c:v>1.3706423287671232</c:v>
                </c:pt>
                <c:pt idx="40">
                  <c:v>1.3671972602739726</c:v>
                </c:pt>
                <c:pt idx="41">
                  <c:v>1.352262191780822</c:v>
                </c:pt>
                <c:pt idx="42">
                  <c:v>1.3516171232876713</c:v>
                </c:pt>
                <c:pt idx="43">
                  <c:v>1.3685020547945204</c:v>
                </c:pt>
                <c:pt idx="44">
                  <c:v>1.3762868493150686</c:v>
                </c:pt>
                <c:pt idx="45">
                  <c:v>1.3674417808219177</c:v>
                </c:pt>
                <c:pt idx="46">
                  <c:v>1.3402767123287673</c:v>
                </c:pt>
                <c:pt idx="47">
                  <c:v>1.3362416438356166</c:v>
                </c:pt>
                <c:pt idx="48">
                  <c:v>1.3306465753424659</c:v>
                </c:pt>
                <c:pt idx="49">
                  <c:v>1.3199013698630135</c:v>
                </c:pt>
                <c:pt idx="50">
                  <c:v>1.3114663013698631</c:v>
                </c:pt>
                <c:pt idx="51">
                  <c:v>1.3121012328767121</c:v>
                </c:pt>
                <c:pt idx="52">
                  <c:v>1.3078561643835618</c:v>
                </c:pt>
                <c:pt idx="53">
                  <c:v>1.3088410958904109</c:v>
                </c:pt>
                <c:pt idx="54">
                  <c:v>1.3127958904109589</c:v>
                </c:pt>
                <c:pt idx="55">
                  <c:v>1.2985608219178082</c:v>
                </c:pt>
                <c:pt idx="56">
                  <c:v>1.2948657534246577</c:v>
                </c:pt>
                <c:pt idx="57">
                  <c:v>1.3042306849315068</c:v>
                </c:pt>
                <c:pt idx="58">
                  <c:v>1.3062056164383562</c:v>
                </c:pt>
                <c:pt idx="59">
                  <c:v>1.3304704109589043</c:v>
                </c:pt>
                <c:pt idx="60">
                  <c:v>1.3338553424657535</c:v>
                </c:pt>
                <c:pt idx="61">
                  <c:v>1.3377602739726027</c:v>
                </c:pt>
                <c:pt idx="62">
                  <c:v>1.3329752054794521</c:v>
                </c:pt>
                <c:pt idx="63">
                  <c:v>1.3289301369863014</c:v>
                </c:pt>
                <c:pt idx="64">
                  <c:v>1.3741349315068492</c:v>
                </c:pt>
                <c:pt idx="65">
                  <c:v>1.3713398630136986</c:v>
                </c:pt>
                <c:pt idx="66">
                  <c:v>1.3806547945205478</c:v>
                </c:pt>
                <c:pt idx="67">
                  <c:v>1.3969197260273973</c:v>
                </c:pt>
                <c:pt idx="68">
                  <c:v>1.4067546575342464</c:v>
                </c:pt>
                <c:pt idx="69">
                  <c:v>1.3882594520547944</c:v>
                </c:pt>
                <c:pt idx="70">
                  <c:v>1.3542843835616438</c:v>
                </c:pt>
                <c:pt idx="71">
                  <c:v>1.3051793150684934</c:v>
                </c:pt>
                <c:pt idx="72">
                  <c:v>1.3128642465753424</c:v>
                </c:pt>
                <c:pt idx="73">
                  <c:v>1.3141391780821918</c:v>
                </c:pt>
                <c:pt idx="74">
                  <c:v>1.3123739726027397</c:v>
                </c:pt>
                <c:pt idx="75">
                  <c:v>1.2916089041095891</c:v>
                </c:pt>
                <c:pt idx="76">
                  <c:v>1.2964138356164383</c:v>
                </c:pt>
                <c:pt idx="77">
                  <c:v>1.2901287671232877</c:v>
                </c:pt>
                <c:pt idx="78">
                  <c:v>1.2920836986301369</c:v>
                </c:pt>
                <c:pt idx="79">
                  <c:v>1.2758184931506851</c:v>
                </c:pt>
                <c:pt idx="80">
                  <c:v>1.2867834246575343</c:v>
                </c:pt>
                <c:pt idx="81">
                  <c:v>1.2841883561643836</c:v>
                </c:pt>
                <c:pt idx="82">
                  <c:v>1.2949232876712329</c:v>
                </c:pt>
                <c:pt idx="83">
                  <c:v>1.2911382191780822</c:v>
                </c:pt>
                <c:pt idx="84">
                  <c:v>1.3062430136986301</c:v>
                </c:pt>
                <c:pt idx="85">
                  <c:v>1.2946979452054794</c:v>
                </c:pt>
                <c:pt idx="86">
                  <c:v>1.2945828767123286</c:v>
                </c:pt>
                <c:pt idx="87">
                  <c:v>1.2931478082191783</c:v>
                </c:pt>
                <c:pt idx="88">
                  <c:v>1.2863827397260275</c:v>
                </c:pt>
                <c:pt idx="89">
                  <c:v>1.2837575342465755</c:v>
                </c:pt>
                <c:pt idx="90">
                  <c:v>1.2836424657534247</c:v>
                </c:pt>
                <c:pt idx="91">
                  <c:v>1.2835273972602739</c:v>
                </c:pt>
                <c:pt idx="92">
                  <c:v>1.2838923287671233</c:v>
                </c:pt>
                <c:pt idx="93">
                  <c:v>1.2837972602739725</c:v>
                </c:pt>
                <c:pt idx="94">
                  <c:v>1.2758820547945204</c:v>
                </c:pt>
                <c:pt idx="95">
                  <c:v>1.2698569863013698</c:v>
                </c:pt>
                <c:pt idx="96">
                  <c:v>1.2622719178082191</c:v>
                </c:pt>
                <c:pt idx="97">
                  <c:v>1.2579368493150684</c:v>
                </c:pt>
                <c:pt idx="98">
                  <c:v>1.2586917808219178</c:v>
                </c:pt>
                <c:pt idx="99">
                  <c:v>1.2413465753424657</c:v>
                </c:pt>
                <c:pt idx="100">
                  <c:v>1.2421315068493151</c:v>
                </c:pt>
                <c:pt idx="101">
                  <c:v>1.2472164383561644</c:v>
                </c:pt>
                <c:pt idx="102">
                  <c:v>1.2513513698630137</c:v>
                </c:pt>
                <c:pt idx="103">
                  <c:v>1.2580563013698629</c:v>
                </c:pt>
                <c:pt idx="104">
                  <c:v>1.2501410958904109</c:v>
                </c:pt>
                <c:pt idx="105">
                  <c:v>1.2389260273972602</c:v>
                </c:pt>
                <c:pt idx="106">
                  <c:v>1.2471609589041095</c:v>
                </c:pt>
                <c:pt idx="107">
                  <c:v>1.2416258904109589</c:v>
                </c:pt>
                <c:pt idx="108">
                  <c:v>1.2415608219178083</c:v>
                </c:pt>
                <c:pt idx="109">
                  <c:v>1.2277656164383561</c:v>
                </c:pt>
                <c:pt idx="110">
                  <c:v>1.2210205479452056</c:v>
                </c:pt>
                <c:pt idx="111">
                  <c:v>1.2037354794520547</c:v>
                </c:pt>
                <c:pt idx="112">
                  <c:v>1.2043204109589041</c:v>
                </c:pt>
                <c:pt idx="113">
                  <c:v>1.1982253424657534</c:v>
                </c:pt>
                <c:pt idx="114">
                  <c:v>1.1902301369863015</c:v>
                </c:pt>
                <c:pt idx="115">
                  <c:v>1.1785150684931507</c:v>
                </c:pt>
                <c:pt idx="116">
                  <c:v>1.1753800000000001</c:v>
                </c:pt>
                <c:pt idx="117">
                  <c:v>1.1762649315068494</c:v>
                </c:pt>
                <c:pt idx="118">
                  <c:v>1.1817998630136988</c:v>
                </c:pt>
                <c:pt idx="119">
                  <c:v>1.1831446575342466</c:v>
                </c:pt>
                <c:pt idx="120">
                  <c:v>1.184559589041096</c:v>
                </c:pt>
                <c:pt idx="121">
                  <c:v>1.1862745205479452</c:v>
                </c:pt>
                <c:pt idx="122">
                  <c:v>1.1851294520547946</c:v>
                </c:pt>
                <c:pt idx="123">
                  <c:v>1.1804843835616439</c:v>
                </c:pt>
                <c:pt idx="124">
                  <c:v>1.1723691780821919</c:v>
                </c:pt>
                <c:pt idx="125">
                  <c:v>1.1721341095890412</c:v>
                </c:pt>
                <c:pt idx="126">
                  <c:v>1.1718690410958905</c:v>
                </c:pt>
                <c:pt idx="127">
                  <c:v>1.1771739726027397</c:v>
                </c:pt>
                <c:pt idx="128">
                  <c:v>1.1824789041095891</c:v>
                </c:pt>
                <c:pt idx="129">
                  <c:v>1.1909436986301369</c:v>
                </c:pt>
                <c:pt idx="130">
                  <c:v>1.1782686301369862</c:v>
                </c:pt>
                <c:pt idx="131">
                  <c:v>1.1803135616438356</c:v>
                </c:pt>
                <c:pt idx="132">
                  <c:v>1.1792184931506848</c:v>
                </c:pt>
                <c:pt idx="133">
                  <c:v>1.1787334246575343</c:v>
                </c:pt>
                <c:pt idx="134">
                  <c:v>1.1729382191780822</c:v>
                </c:pt>
                <c:pt idx="135">
                  <c:v>1.1721231506849314</c:v>
                </c:pt>
                <c:pt idx="136">
                  <c:v>1.1713780821917807</c:v>
                </c:pt>
                <c:pt idx="137">
                  <c:v>1.1709430136986301</c:v>
                </c:pt>
                <c:pt idx="138">
                  <c:v>1.1667779452054794</c:v>
                </c:pt>
                <c:pt idx="139">
                  <c:v>1.1766527397260274</c:v>
                </c:pt>
                <c:pt idx="140">
                  <c:v>1.1732376712328767</c:v>
                </c:pt>
                <c:pt idx="141">
                  <c:v>1.1885026027397261</c:v>
                </c:pt>
                <c:pt idx="142">
                  <c:v>1.1972875342465752</c:v>
                </c:pt>
                <c:pt idx="143">
                  <c:v>1.1929224657534248</c:v>
                </c:pt>
                <c:pt idx="144">
                  <c:v>1.1954772602739725</c:v>
                </c:pt>
                <c:pt idx="145">
                  <c:v>1.1939621917808219</c:v>
                </c:pt>
                <c:pt idx="146">
                  <c:v>1.1878171232876711</c:v>
                </c:pt>
                <c:pt idx="147">
                  <c:v>1.1835520547945206</c:v>
                </c:pt>
                <c:pt idx="148">
                  <c:v>1.1838369863013698</c:v>
                </c:pt>
                <c:pt idx="149">
                  <c:v>1.1907717808219178</c:v>
                </c:pt>
                <c:pt idx="150">
                  <c:v>1.1885267123287671</c:v>
                </c:pt>
                <c:pt idx="151">
                  <c:v>1.1943916438356166</c:v>
                </c:pt>
                <c:pt idx="152">
                  <c:v>1.1835465753424657</c:v>
                </c:pt>
                <c:pt idx="153">
                  <c:v>1.1741615068493152</c:v>
                </c:pt>
                <c:pt idx="154">
                  <c:v>1.1789863013698629</c:v>
                </c:pt>
                <c:pt idx="155">
                  <c:v>1.1831712328767123</c:v>
                </c:pt>
                <c:pt idx="156">
                  <c:v>1.1845361643835617</c:v>
                </c:pt>
                <c:pt idx="157">
                  <c:v>1.177721095890411</c:v>
                </c:pt>
                <c:pt idx="158">
                  <c:v>1.1714760273972602</c:v>
                </c:pt>
                <c:pt idx="159">
                  <c:v>1.1715608219178084</c:v>
                </c:pt>
                <c:pt idx="160">
                  <c:v>1.1591457534246574</c:v>
                </c:pt>
                <c:pt idx="161">
                  <c:v>1.157700684931507</c:v>
                </c:pt>
                <c:pt idx="162">
                  <c:v>1.1490856164383561</c:v>
                </c:pt>
                <c:pt idx="163">
                  <c:v>1.1486005479452057</c:v>
                </c:pt>
                <c:pt idx="164">
                  <c:v>1.1466253424657533</c:v>
                </c:pt>
                <c:pt idx="165">
                  <c:v>1.1483102739726028</c:v>
                </c:pt>
                <c:pt idx="166">
                  <c:v>1.1513952054794521</c:v>
                </c:pt>
                <c:pt idx="167">
                  <c:v>1.1647801369863016</c:v>
                </c:pt>
                <c:pt idx="168">
                  <c:v>1.1817150684931508</c:v>
                </c:pt>
                <c:pt idx="169">
                  <c:v>1.1941398630136986</c:v>
                </c:pt>
                <c:pt idx="170">
                  <c:v>1.1807547945205479</c:v>
                </c:pt>
                <c:pt idx="171">
                  <c:v>1.1680397260273971</c:v>
                </c:pt>
                <c:pt idx="172">
                  <c:v>1.1715946575342466</c:v>
                </c:pt>
                <c:pt idx="173">
                  <c:v>1.1764395890410957</c:v>
                </c:pt>
                <c:pt idx="174">
                  <c:v>1.1868143835616438</c:v>
                </c:pt>
                <c:pt idx="175">
                  <c:v>1.192629315068493</c:v>
                </c:pt>
                <c:pt idx="176">
                  <c:v>1.2026142465753424</c:v>
                </c:pt>
                <c:pt idx="177">
                  <c:v>1.1965991780821918</c:v>
                </c:pt>
                <c:pt idx="178">
                  <c:v>1.1813841095890412</c:v>
                </c:pt>
                <c:pt idx="179">
                  <c:v>1.169138904109589</c:v>
                </c:pt>
                <c:pt idx="180">
                  <c:v>1.1644238356164383</c:v>
                </c:pt>
                <c:pt idx="181">
                  <c:v>1.1589287671232875</c:v>
                </c:pt>
                <c:pt idx="182">
                  <c:v>1.1524636986301369</c:v>
                </c:pt>
                <c:pt idx="183">
                  <c:v>1.1467786301369862</c:v>
                </c:pt>
                <c:pt idx="184">
                  <c:v>1.1541034246575343</c:v>
                </c:pt>
                <c:pt idx="185">
                  <c:v>1.1415183561643836</c:v>
                </c:pt>
                <c:pt idx="186">
                  <c:v>1.1304032876712331</c:v>
                </c:pt>
                <c:pt idx="187">
                  <c:v>1.1253082191780821</c:v>
                </c:pt>
                <c:pt idx="188">
                  <c:v>1.1183731506849315</c:v>
                </c:pt>
                <c:pt idx="189">
                  <c:v>1.1150979452054794</c:v>
                </c:pt>
                <c:pt idx="190">
                  <c:v>1.1059128767123287</c:v>
                </c:pt>
                <c:pt idx="191">
                  <c:v>1.1118178082191781</c:v>
                </c:pt>
                <c:pt idx="192">
                  <c:v>1.1148827397260275</c:v>
                </c:pt>
                <c:pt idx="193">
                  <c:v>1.1217876712328767</c:v>
                </c:pt>
                <c:pt idx="194">
                  <c:v>1.1112924657534247</c:v>
                </c:pt>
                <c:pt idx="195">
                  <c:v>1.117327397260274</c:v>
                </c:pt>
                <c:pt idx="196">
                  <c:v>1.1129623287671233</c:v>
                </c:pt>
                <c:pt idx="197">
                  <c:v>1.1157972602739725</c:v>
                </c:pt>
                <c:pt idx="198">
                  <c:v>1.109562191780822</c:v>
                </c:pt>
                <c:pt idx="199">
                  <c:v>1.1029869863013697</c:v>
                </c:pt>
                <c:pt idx="200">
                  <c:v>1.0996019178082193</c:v>
                </c:pt>
                <c:pt idx="201">
                  <c:v>1.0993068493150684</c:v>
                </c:pt>
                <c:pt idx="202">
                  <c:v>1.098841780821918</c:v>
                </c:pt>
                <c:pt idx="203">
                  <c:v>1.1003567123287672</c:v>
                </c:pt>
                <c:pt idx="204">
                  <c:v>1.0938015068493152</c:v>
                </c:pt>
                <c:pt idx="205">
                  <c:v>1.0949364383561644</c:v>
                </c:pt>
                <c:pt idx="206">
                  <c:v>1.0877013698630138</c:v>
                </c:pt>
                <c:pt idx="207">
                  <c:v>1.0794663013698631</c:v>
                </c:pt>
                <c:pt idx="208">
                  <c:v>1.0744712328767125</c:v>
                </c:pt>
                <c:pt idx="209">
                  <c:v>1.0756060273972603</c:v>
                </c:pt>
                <c:pt idx="210">
                  <c:v>1.0716609589041095</c:v>
                </c:pt>
                <c:pt idx="211">
                  <c:v>1.080675890410959</c:v>
                </c:pt>
                <c:pt idx="212">
                  <c:v>1.0862108219178082</c:v>
                </c:pt>
                <c:pt idx="213">
                  <c:v>1.0926457534246576</c:v>
                </c:pt>
                <c:pt idx="214">
                  <c:v>1.0926505479452053</c:v>
                </c:pt>
                <c:pt idx="215">
                  <c:v>1.0926054794520548</c:v>
                </c:pt>
                <c:pt idx="216">
                  <c:v>1.087040410958904</c:v>
                </c:pt>
                <c:pt idx="217">
                  <c:v>1.1008053424657536</c:v>
                </c:pt>
                <c:pt idx="218">
                  <c:v>1.0963102739726027</c:v>
                </c:pt>
                <c:pt idx="219">
                  <c:v>1.0986950684931507</c:v>
                </c:pt>
                <c:pt idx="220">
                  <c:v>1.10168</c:v>
                </c:pt>
                <c:pt idx="221">
                  <c:v>1.1044849315068495</c:v>
                </c:pt>
                <c:pt idx="222">
                  <c:v>1.1018698630136985</c:v>
                </c:pt>
                <c:pt idx="223">
                  <c:v>1.093734794520548</c:v>
                </c:pt>
                <c:pt idx="224">
                  <c:v>1.0875895890410958</c:v>
                </c:pt>
                <c:pt idx="225">
                  <c:v>1.0924945205479453</c:v>
                </c:pt>
                <c:pt idx="226">
                  <c:v>1.0883294520547946</c:v>
                </c:pt>
                <c:pt idx="227">
                  <c:v>1.0970143835616439</c:v>
                </c:pt>
                <c:pt idx="228">
                  <c:v>1.1031293150684931</c:v>
                </c:pt>
                <c:pt idx="229">
                  <c:v>1.1012841095890411</c:v>
                </c:pt>
                <c:pt idx="230">
                  <c:v>1.0951690410958903</c:v>
                </c:pt>
                <c:pt idx="231">
                  <c:v>1.1084739726027397</c:v>
                </c:pt>
                <c:pt idx="232">
                  <c:v>1.111008904109589</c:v>
                </c:pt>
                <c:pt idx="233">
                  <c:v>1.1183438356164384</c:v>
                </c:pt>
                <c:pt idx="234">
                  <c:v>1.1030786301369864</c:v>
                </c:pt>
                <c:pt idx="235">
                  <c:v>1.0807135616438357</c:v>
                </c:pt>
                <c:pt idx="236">
                  <c:v>1.0770684931506849</c:v>
                </c:pt>
                <c:pt idx="237">
                  <c:v>1.0779834246575344</c:v>
                </c:pt>
                <c:pt idx="238">
                  <c:v>1.0774883561643835</c:v>
                </c:pt>
                <c:pt idx="239">
                  <c:v>1.0758931506849316</c:v>
                </c:pt>
                <c:pt idx="240">
                  <c:v>1.0734780821917806</c:v>
                </c:pt>
                <c:pt idx="241">
                  <c:v>1.0775130136986302</c:v>
                </c:pt>
                <c:pt idx="242">
                  <c:v>1.0687679452054795</c:v>
                </c:pt>
                <c:pt idx="243">
                  <c:v>1.070732876712329</c:v>
                </c:pt>
                <c:pt idx="244">
                  <c:v>1.0563876712328766</c:v>
                </c:pt>
                <c:pt idx="245">
                  <c:v>1.0467226027397261</c:v>
                </c:pt>
                <c:pt idx="246">
                  <c:v>1.0534075342465754</c:v>
                </c:pt>
                <c:pt idx="247">
                  <c:v>1.0422924657534245</c:v>
                </c:pt>
                <c:pt idx="248">
                  <c:v>1.0565773972602741</c:v>
                </c:pt>
                <c:pt idx="249">
                  <c:v>1.0627821917808218</c:v>
                </c:pt>
                <c:pt idx="250">
                  <c:v>1.0540171232876712</c:v>
                </c:pt>
                <c:pt idx="251">
                  <c:v>1.0758320547945204</c:v>
                </c:pt>
                <c:pt idx="252">
                  <c:v>1.0717869863013698</c:v>
                </c:pt>
                <c:pt idx="253">
                  <c:v>1.0691719178082191</c:v>
                </c:pt>
                <c:pt idx="254">
                  <c:v>1.0719767123287671</c:v>
                </c:pt>
                <c:pt idx="255">
                  <c:v>1.0792116438356165</c:v>
                </c:pt>
                <c:pt idx="256">
                  <c:v>1.0664965753424658</c:v>
                </c:pt>
                <c:pt idx="257">
                  <c:v>1.070481506849315</c:v>
                </c:pt>
                <c:pt idx="258">
                  <c:v>1.0628464383561644</c:v>
                </c:pt>
                <c:pt idx="259">
                  <c:v>1.0622212328767122</c:v>
                </c:pt>
                <c:pt idx="260">
                  <c:v>1.0562561643835617</c:v>
                </c:pt>
                <c:pt idx="261">
                  <c:v>1.0557410958904108</c:v>
                </c:pt>
                <c:pt idx="262">
                  <c:v>1.0539260273972604</c:v>
                </c:pt>
                <c:pt idx="263">
                  <c:v>1.0552409589041094</c:v>
                </c:pt>
                <c:pt idx="264">
                  <c:v>1.0556857534246575</c:v>
                </c:pt>
                <c:pt idx="265">
                  <c:v>1.0516306849315067</c:v>
                </c:pt>
                <c:pt idx="266">
                  <c:v>1.0532656164383563</c:v>
                </c:pt>
                <c:pt idx="267">
                  <c:v>1.0501005479452055</c:v>
                </c:pt>
                <c:pt idx="268">
                  <c:v>1.0453354794520548</c:v>
                </c:pt>
                <c:pt idx="269">
                  <c:v>1.0449902739726027</c:v>
                </c:pt>
                <c:pt idx="270">
                  <c:v>1.0448752054794521</c:v>
                </c:pt>
                <c:pt idx="271">
                  <c:v>1.0426301369863014</c:v>
                </c:pt>
                <c:pt idx="272">
                  <c:v>1.0369150684931507</c:v>
                </c:pt>
                <c:pt idx="273">
                  <c:v>1.0311299999999999</c:v>
                </c:pt>
                <c:pt idx="274">
                  <c:v>1.0276547945205479</c:v>
                </c:pt>
                <c:pt idx="275">
                  <c:v>1.0310397260273974</c:v>
                </c:pt>
                <c:pt idx="276">
                  <c:v>1.0286046575342467</c:v>
                </c:pt>
                <c:pt idx="277">
                  <c:v>1.0278095890410959</c:v>
                </c:pt>
                <c:pt idx="278">
                  <c:v>1.0319945205479453</c:v>
                </c:pt>
                <c:pt idx="279">
                  <c:v>1.0337493150684931</c:v>
                </c:pt>
                <c:pt idx="280">
                  <c:v>1.0298142465753426</c:v>
                </c:pt>
                <c:pt idx="281">
                  <c:v>1.0264691780821917</c:v>
                </c:pt>
                <c:pt idx="282">
                  <c:v>1.0301241095890412</c:v>
                </c:pt>
                <c:pt idx="283">
                  <c:v>1.0326190410958904</c:v>
                </c:pt>
                <c:pt idx="284">
                  <c:v>1.0310938356164385</c:v>
                </c:pt>
                <c:pt idx="285">
                  <c:v>1.0297587671232877</c:v>
                </c:pt>
                <c:pt idx="286">
                  <c:v>1.026663698630137</c:v>
                </c:pt>
                <c:pt idx="287">
                  <c:v>1.0212786301369863</c:v>
                </c:pt>
                <c:pt idx="288">
                  <c:v>1.0179535616438355</c:v>
                </c:pt>
                <c:pt idx="289">
                  <c:v>1.0155183561643835</c:v>
                </c:pt>
                <c:pt idx="290">
                  <c:v>1.0116232876712328</c:v>
                </c:pt>
                <c:pt idx="291">
                  <c:v>1.0167582191780822</c:v>
                </c:pt>
                <c:pt idx="292">
                  <c:v>1.0201731506849314</c:v>
                </c:pt>
                <c:pt idx="293">
                  <c:v>1.0186980821917808</c:v>
                </c:pt>
                <c:pt idx="294">
                  <c:v>1.0184628767123287</c:v>
                </c:pt>
                <c:pt idx="295">
                  <c:v>1.013817808219178</c:v>
                </c:pt>
                <c:pt idx="296">
                  <c:v>1.0185027397260273</c:v>
                </c:pt>
                <c:pt idx="297">
                  <c:v>1.0201176712328768</c:v>
                </c:pt>
                <c:pt idx="298">
                  <c:v>1.0219926027397259</c:v>
                </c:pt>
                <c:pt idx="299">
                  <c:v>1.0127573972602741</c:v>
                </c:pt>
                <c:pt idx="300">
                  <c:v>1.0092923287671232</c:v>
                </c:pt>
                <c:pt idx="301">
                  <c:v>1.0152772602739726</c:v>
                </c:pt>
                <c:pt idx="302">
                  <c:v>1.0076121917808218</c:v>
                </c:pt>
                <c:pt idx="303">
                  <c:v>0.99616712328767132</c:v>
                </c:pt>
                <c:pt idx="304">
                  <c:v>0.99415191780821932</c:v>
                </c:pt>
                <c:pt idx="305">
                  <c:v>0.99338684931506849</c:v>
                </c:pt>
                <c:pt idx="306">
                  <c:v>0.98849178082191769</c:v>
                </c:pt>
                <c:pt idx="307">
                  <c:v>0.98579671232876709</c:v>
                </c:pt>
                <c:pt idx="308">
                  <c:v>0.98381164383561648</c:v>
                </c:pt>
                <c:pt idx="309">
                  <c:v>0.98454643835616429</c:v>
                </c:pt>
                <c:pt idx="310">
                  <c:v>0.97895136986301368</c:v>
                </c:pt>
                <c:pt idx="311">
                  <c:v>0.98568630136986291</c:v>
                </c:pt>
                <c:pt idx="312">
                  <c:v>0.98995123287671227</c:v>
                </c:pt>
                <c:pt idx="313">
                  <c:v>0.98628616438356165</c:v>
                </c:pt>
                <c:pt idx="314">
                  <c:v>0.98081095890410963</c:v>
                </c:pt>
                <c:pt idx="315">
                  <c:v>0.97837589041095885</c:v>
                </c:pt>
                <c:pt idx="316">
                  <c:v>0.97521082191780817</c:v>
                </c:pt>
                <c:pt idx="317">
                  <c:v>0.97869575342465742</c:v>
                </c:pt>
                <c:pt idx="318">
                  <c:v>0.97895068493150683</c:v>
                </c:pt>
                <c:pt idx="319">
                  <c:v>0.97743547945205478</c:v>
                </c:pt>
                <c:pt idx="320">
                  <c:v>0.96742041095890408</c:v>
                </c:pt>
                <c:pt idx="321">
                  <c:v>0.95955534246575336</c:v>
                </c:pt>
                <c:pt idx="322">
                  <c:v>0.9564102739726027</c:v>
                </c:pt>
                <c:pt idx="323">
                  <c:v>0.95852520547945208</c:v>
                </c:pt>
                <c:pt idx="324">
                  <c:v>0.96019999999999994</c:v>
                </c:pt>
                <c:pt idx="325">
                  <c:v>0.99801493150684939</c:v>
                </c:pt>
                <c:pt idx="326">
                  <c:v>0.99794986301369859</c:v>
                </c:pt>
                <c:pt idx="327">
                  <c:v>0.99748479452054795</c:v>
                </c:pt>
                <c:pt idx="328">
                  <c:v>0.9920197260273973</c:v>
                </c:pt>
                <c:pt idx="329">
                  <c:v>0.9890745205479452</c:v>
                </c:pt>
                <c:pt idx="330">
                  <c:v>0.99362945205479458</c:v>
                </c:pt>
                <c:pt idx="331">
                  <c:v>0.99671438356164388</c:v>
                </c:pt>
                <c:pt idx="332">
                  <c:v>0.99817931506849322</c:v>
                </c:pt>
                <c:pt idx="333">
                  <c:v>1.0031142465753424</c:v>
                </c:pt>
                <c:pt idx="334">
                  <c:v>0.99873904109589029</c:v>
                </c:pt>
                <c:pt idx="335">
                  <c:v>0.99370397260273968</c:v>
                </c:pt>
                <c:pt idx="336">
                  <c:v>0.98888890410958907</c:v>
                </c:pt>
                <c:pt idx="337">
                  <c:v>0.98249383561643833</c:v>
                </c:pt>
                <c:pt idx="338">
                  <c:v>0.98085876712328768</c:v>
                </c:pt>
                <c:pt idx="339">
                  <c:v>0.98058356164383553</c:v>
                </c:pt>
                <c:pt idx="340">
                  <c:v>0.98129849315068496</c:v>
                </c:pt>
                <c:pt idx="341">
                  <c:v>0.97813342465753417</c:v>
                </c:pt>
                <c:pt idx="342">
                  <c:v>0.97606835616438359</c:v>
                </c:pt>
                <c:pt idx="343">
                  <c:v>0.96605328767123289</c:v>
                </c:pt>
                <c:pt idx="344">
                  <c:v>0.96905808219178091</c:v>
                </c:pt>
                <c:pt idx="345">
                  <c:v>0.95966301369863005</c:v>
                </c:pt>
                <c:pt idx="346">
                  <c:v>0.94799794520547942</c:v>
                </c:pt>
                <c:pt idx="347">
                  <c:v>0.94788287671232874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BA-D640-9F27-2467D3A50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2710696"/>
        <c:axId val="-2135987720"/>
      </c:lineChart>
      <c:dateAx>
        <c:axId val="2122710696"/>
        <c:scaling>
          <c:orientation val="minMax"/>
        </c:scaling>
        <c:delete val="0"/>
        <c:axPos val="b"/>
        <c:numFmt formatCode="dd\-mmm\-yyyy\ ddd" sourceLinked="0"/>
        <c:majorTickMark val="out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-540000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135987720"/>
        <c:crosses val="autoZero"/>
        <c:auto val="1"/>
        <c:lblOffset val="100"/>
        <c:baseTimeUnit val="days"/>
      </c:dateAx>
      <c:valAx>
        <c:axId val="-2135987720"/>
        <c:scaling>
          <c:orientation val="minMax"/>
          <c:min val="0.9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22710696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36203069055598502"/>
          <c:y val="0.91993817850902104"/>
          <c:w val="0.406180841633207"/>
          <c:h val="5.970149253731289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Evolución precio y cotización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7357056752271"/>
          <c:y val="9.4282473372325995E-2"/>
          <c:w val="0.815322270383954"/>
          <c:h val="0.62255565856763795"/>
        </c:manualLayout>
      </c:layout>
      <c:lineChart>
        <c:grouping val="standard"/>
        <c:varyColors val="0"/>
        <c:ser>
          <c:idx val="0"/>
          <c:order val="0"/>
          <c:tx>
            <c:strRef>
              <c:f>'Cot-Px'!$O$5</c:f>
              <c:strCache>
                <c:ptCount val="1"/>
                <c:pt idx="0">
                  <c:v>Cotización</c:v>
                </c:pt>
              </c:strCache>
            </c:strRef>
          </c:tx>
          <c:spPr>
            <a:ln w="25400">
              <a:solidFill>
                <a:srgbClr val="666699"/>
              </a:solidFill>
              <a:prstDash val="solid"/>
            </a:ln>
          </c:spPr>
          <c:marker>
            <c:symbol val="none"/>
          </c:marker>
          <c:cat>
            <c:numRef>
              <c:f>'Cot-Px'!$N$6:$N$492</c:f>
              <c:numCache>
                <c:formatCode>dd\-mmm\-yyyy\ ddd</c:formatCode>
                <c:ptCount val="487"/>
                <c:pt idx="0">
                  <c:v>42124</c:v>
                </c:pt>
                <c:pt idx="1">
                  <c:v>42123</c:v>
                </c:pt>
                <c:pt idx="2">
                  <c:v>42122</c:v>
                </c:pt>
                <c:pt idx="3">
                  <c:v>42121</c:v>
                </c:pt>
                <c:pt idx="4">
                  <c:v>42118</c:v>
                </c:pt>
                <c:pt idx="5">
                  <c:v>42117</c:v>
                </c:pt>
                <c:pt idx="6">
                  <c:v>42116</c:v>
                </c:pt>
                <c:pt idx="7">
                  <c:v>42115</c:v>
                </c:pt>
                <c:pt idx="8">
                  <c:v>42114</c:v>
                </c:pt>
                <c:pt idx="9">
                  <c:v>42111</c:v>
                </c:pt>
                <c:pt idx="10">
                  <c:v>42110</c:v>
                </c:pt>
                <c:pt idx="11">
                  <c:v>42109</c:v>
                </c:pt>
                <c:pt idx="12">
                  <c:v>42108</c:v>
                </c:pt>
                <c:pt idx="13">
                  <c:v>42107</c:v>
                </c:pt>
                <c:pt idx="14">
                  <c:v>42104</c:v>
                </c:pt>
                <c:pt idx="15">
                  <c:v>42103</c:v>
                </c:pt>
                <c:pt idx="16">
                  <c:v>42102</c:v>
                </c:pt>
                <c:pt idx="17">
                  <c:v>42101</c:v>
                </c:pt>
                <c:pt idx="18">
                  <c:v>42100</c:v>
                </c:pt>
                <c:pt idx="19">
                  <c:v>42097</c:v>
                </c:pt>
                <c:pt idx="20">
                  <c:v>42096</c:v>
                </c:pt>
                <c:pt idx="21">
                  <c:v>42095</c:v>
                </c:pt>
                <c:pt idx="22">
                  <c:v>42094</c:v>
                </c:pt>
                <c:pt idx="23">
                  <c:v>42093</c:v>
                </c:pt>
                <c:pt idx="24">
                  <c:v>42090</c:v>
                </c:pt>
                <c:pt idx="25">
                  <c:v>42089</c:v>
                </c:pt>
                <c:pt idx="26">
                  <c:v>42088</c:v>
                </c:pt>
                <c:pt idx="27">
                  <c:v>42087</c:v>
                </c:pt>
                <c:pt idx="28">
                  <c:v>42086</c:v>
                </c:pt>
                <c:pt idx="29">
                  <c:v>42083</c:v>
                </c:pt>
                <c:pt idx="30">
                  <c:v>42082</c:v>
                </c:pt>
                <c:pt idx="31">
                  <c:v>42081</c:v>
                </c:pt>
                <c:pt idx="32">
                  <c:v>42080</c:v>
                </c:pt>
                <c:pt idx="33">
                  <c:v>42079</c:v>
                </c:pt>
                <c:pt idx="34">
                  <c:v>42076</c:v>
                </c:pt>
                <c:pt idx="35">
                  <c:v>42075</c:v>
                </c:pt>
                <c:pt idx="36">
                  <c:v>42074</c:v>
                </c:pt>
                <c:pt idx="37">
                  <c:v>42073</c:v>
                </c:pt>
                <c:pt idx="38">
                  <c:v>42072</c:v>
                </c:pt>
                <c:pt idx="39">
                  <c:v>42069</c:v>
                </c:pt>
                <c:pt idx="40">
                  <c:v>42068</c:v>
                </c:pt>
                <c:pt idx="41">
                  <c:v>42067</c:v>
                </c:pt>
                <c:pt idx="42">
                  <c:v>42066</c:v>
                </c:pt>
                <c:pt idx="43">
                  <c:v>42065</c:v>
                </c:pt>
                <c:pt idx="44">
                  <c:v>42062</c:v>
                </c:pt>
                <c:pt idx="45">
                  <c:v>42061</c:v>
                </c:pt>
                <c:pt idx="46">
                  <c:v>42060</c:v>
                </c:pt>
                <c:pt idx="47">
                  <c:v>42059</c:v>
                </c:pt>
                <c:pt idx="48">
                  <c:v>42058</c:v>
                </c:pt>
                <c:pt idx="49">
                  <c:v>42055</c:v>
                </c:pt>
                <c:pt idx="50">
                  <c:v>42054</c:v>
                </c:pt>
                <c:pt idx="51">
                  <c:v>42053</c:v>
                </c:pt>
                <c:pt idx="52">
                  <c:v>42052</c:v>
                </c:pt>
                <c:pt idx="53">
                  <c:v>42051</c:v>
                </c:pt>
                <c:pt idx="54">
                  <c:v>42048</c:v>
                </c:pt>
                <c:pt idx="55">
                  <c:v>42047</c:v>
                </c:pt>
                <c:pt idx="56">
                  <c:v>42046</c:v>
                </c:pt>
                <c:pt idx="57">
                  <c:v>42045</c:v>
                </c:pt>
                <c:pt idx="58">
                  <c:v>42044</c:v>
                </c:pt>
                <c:pt idx="59">
                  <c:v>42041</c:v>
                </c:pt>
                <c:pt idx="60">
                  <c:v>42040</c:v>
                </c:pt>
                <c:pt idx="61">
                  <c:v>42039</c:v>
                </c:pt>
                <c:pt idx="62">
                  <c:v>42038</c:v>
                </c:pt>
                <c:pt idx="63">
                  <c:v>42037</c:v>
                </c:pt>
                <c:pt idx="64">
                  <c:v>42034</c:v>
                </c:pt>
                <c:pt idx="65">
                  <c:v>42033</c:v>
                </c:pt>
                <c:pt idx="66">
                  <c:v>42032</c:v>
                </c:pt>
                <c:pt idx="67">
                  <c:v>42031</c:v>
                </c:pt>
                <c:pt idx="68">
                  <c:v>42030</c:v>
                </c:pt>
                <c:pt idx="69">
                  <c:v>42027</c:v>
                </c:pt>
                <c:pt idx="70">
                  <c:v>42026</c:v>
                </c:pt>
                <c:pt idx="71">
                  <c:v>42025</c:v>
                </c:pt>
                <c:pt idx="72">
                  <c:v>42024</c:v>
                </c:pt>
                <c:pt idx="73">
                  <c:v>42023</c:v>
                </c:pt>
                <c:pt idx="74">
                  <c:v>42020</c:v>
                </c:pt>
                <c:pt idx="75">
                  <c:v>42019</c:v>
                </c:pt>
                <c:pt idx="76">
                  <c:v>42018</c:v>
                </c:pt>
                <c:pt idx="77">
                  <c:v>42017</c:v>
                </c:pt>
                <c:pt idx="78">
                  <c:v>42016</c:v>
                </c:pt>
                <c:pt idx="79">
                  <c:v>42013</c:v>
                </c:pt>
                <c:pt idx="80">
                  <c:v>42012</c:v>
                </c:pt>
                <c:pt idx="81">
                  <c:v>42011</c:v>
                </c:pt>
                <c:pt idx="82">
                  <c:v>42010</c:v>
                </c:pt>
                <c:pt idx="83">
                  <c:v>42009</c:v>
                </c:pt>
                <c:pt idx="84">
                  <c:v>42006</c:v>
                </c:pt>
                <c:pt idx="85">
                  <c:v>42005</c:v>
                </c:pt>
                <c:pt idx="86">
                  <c:v>42004</c:v>
                </c:pt>
                <c:pt idx="87">
                  <c:v>42003</c:v>
                </c:pt>
                <c:pt idx="88">
                  <c:v>42002</c:v>
                </c:pt>
                <c:pt idx="89">
                  <c:v>41999</c:v>
                </c:pt>
                <c:pt idx="90">
                  <c:v>41998</c:v>
                </c:pt>
                <c:pt idx="91">
                  <c:v>41997</c:v>
                </c:pt>
                <c:pt idx="92">
                  <c:v>41996</c:v>
                </c:pt>
                <c:pt idx="93">
                  <c:v>41995</c:v>
                </c:pt>
                <c:pt idx="94">
                  <c:v>41992</c:v>
                </c:pt>
                <c:pt idx="95">
                  <c:v>41991</c:v>
                </c:pt>
                <c:pt idx="96">
                  <c:v>41990</c:v>
                </c:pt>
                <c:pt idx="97">
                  <c:v>41989</c:v>
                </c:pt>
                <c:pt idx="98">
                  <c:v>41988</c:v>
                </c:pt>
                <c:pt idx="99">
                  <c:v>41985</c:v>
                </c:pt>
                <c:pt idx="100">
                  <c:v>41984</c:v>
                </c:pt>
                <c:pt idx="101">
                  <c:v>41983</c:v>
                </c:pt>
                <c:pt idx="102">
                  <c:v>41982</c:v>
                </c:pt>
                <c:pt idx="103">
                  <c:v>41981</c:v>
                </c:pt>
                <c:pt idx="104">
                  <c:v>41978</c:v>
                </c:pt>
                <c:pt idx="105">
                  <c:v>41977</c:v>
                </c:pt>
                <c:pt idx="106">
                  <c:v>41976</c:v>
                </c:pt>
                <c:pt idx="107">
                  <c:v>41975</c:v>
                </c:pt>
                <c:pt idx="108">
                  <c:v>41974</c:v>
                </c:pt>
                <c:pt idx="109">
                  <c:v>41971</c:v>
                </c:pt>
                <c:pt idx="110">
                  <c:v>41970</c:v>
                </c:pt>
                <c:pt idx="111">
                  <c:v>41969</c:v>
                </c:pt>
                <c:pt idx="112">
                  <c:v>41968</c:v>
                </c:pt>
                <c:pt idx="113">
                  <c:v>41967</c:v>
                </c:pt>
                <c:pt idx="114">
                  <c:v>41964</c:v>
                </c:pt>
                <c:pt idx="115">
                  <c:v>41963</c:v>
                </c:pt>
                <c:pt idx="116">
                  <c:v>41962</c:v>
                </c:pt>
                <c:pt idx="117">
                  <c:v>41961</c:v>
                </c:pt>
                <c:pt idx="118">
                  <c:v>41960</c:v>
                </c:pt>
                <c:pt idx="119">
                  <c:v>41957</c:v>
                </c:pt>
                <c:pt idx="120">
                  <c:v>41956</c:v>
                </c:pt>
                <c:pt idx="121">
                  <c:v>41955</c:v>
                </c:pt>
                <c:pt idx="122">
                  <c:v>41954</c:v>
                </c:pt>
                <c:pt idx="123">
                  <c:v>41953</c:v>
                </c:pt>
                <c:pt idx="124">
                  <c:v>41950</c:v>
                </c:pt>
                <c:pt idx="125">
                  <c:v>41949</c:v>
                </c:pt>
                <c:pt idx="126">
                  <c:v>41948</c:v>
                </c:pt>
                <c:pt idx="127">
                  <c:v>41947</c:v>
                </c:pt>
                <c:pt idx="128">
                  <c:v>41946</c:v>
                </c:pt>
                <c:pt idx="129">
                  <c:v>41943</c:v>
                </c:pt>
                <c:pt idx="130">
                  <c:v>41942</c:v>
                </c:pt>
                <c:pt idx="131">
                  <c:v>41941</c:v>
                </c:pt>
                <c:pt idx="132">
                  <c:v>41940</c:v>
                </c:pt>
                <c:pt idx="133">
                  <c:v>41939</c:v>
                </c:pt>
                <c:pt idx="134">
                  <c:v>41936</c:v>
                </c:pt>
                <c:pt idx="135">
                  <c:v>41935</c:v>
                </c:pt>
                <c:pt idx="136">
                  <c:v>41934</c:v>
                </c:pt>
                <c:pt idx="137">
                  <c:v>41933</c:v>
                </c:pt>
                <c:pt idx="138">
                  <c:v>41932</c:v>
                </c:pt>
                <c:pt idx="139">
                  <c:v>41929</c:v>
                </c:pt>
                <c:pt idx="140">
                  <c:v>41928</c:v>
                </c:pt>
                <c:pt idx="141">
                  <c:v>41927</c:v>
                </c:pt>
                <c:pt idx="142">
                  <c:v>41926</c:v>
                </c:pt>
                <c:pt idx="143">
                  <c:v>41925</c:v>
                </c:pt>
                <c:pt idx="144">
                  <c:v>41922</c:v>
                </c:pt>
                <c:pt idx="145">
                  <c:v>41921</c:v>
                </c:pt>
                <c:pt idx="146">
                  <c:v>41920</c:v>
                </c:pt>
                <c:pt idx="147">
                  <c:v>41919</c:v>
                </c:pt>
                <c:pt idx="148">
                  <c:v>41918</c:v>
                </c:pt>
                <c:pt idx="149">
                  <c:v>41915</c:v>
                </c:pt>
                <c:pt idx="150">
                  <c:v>41914</c:v>
                </c:pt>
                <c:pt idx="151">
                  <c:v>41913</c:v>
                </c:pt>
                <c:pt idx="152">
                  <c:v>41912</c:v>
                </c:pt>
                <c:pt idx="153">
                  <c:v>41911</c:v>
                </c:pt>
                <c:pt idx="154">
                  <c:v>41908</c:v>
                </c:pt>
                <c:pt idx="155">
                  <c:v>41907</c:v>
                </c:pt>
                <c:pt idx="156">
                  <c:v>41906</c:v>
                </c:pt>
                <c:pt idx="157">
                  <c:v>41905</c:v>
                </c:pt>
                <c:pt idx="158">
                  <c:v>41904</c:v>
                </c:pt>
                <c:pt idx="159">
                  <c:v>41901</c:v>
                </c:pt>
                <c:pt idx="160">
                  <c:v>41900</c:v>
                </c:pt>
                <c:pt idx="161">
                  <c:v>41899</c:v>
                </c:pt>
                <c:pt idx="162">
                  <c:v>41898</c:v>
                </c:pt>
                <c:pt idx="163">
                  <c:v>41897</c:v>
                </c:pt>
                <c:pt idx="164">
                  <c:v>41894</c:v>
                </c:pt>
                <c:pt idx="165">
                  <c:v>41893</c:v>
                </c:pt>
                <c:pt idx="166">
                  <c:v>41892</c:v>
                </c:pt>
                <c:pt idx="167">
                  <c:v>41891</c:v>
                </c:pt>
                <c:pt idx="168">
                  <c:v>41890</c:v>
                </c:pt>
                <c:pt idx="169">
                  <c:v>41887</c:v>
                </c:pt>
                <c:pt idx="170">
                  <c:v>41886</c:v>
                </c:pt>
                <c:pt idx="171">
                  <c:v>41885</c:v>
                </c:pt>
                <c:pt idx="172">
                  <c:v>41884</c:v>
                </c:pt>
                <c:pt idx="173">
                  <c:v>41883</c:v>
                </c:pt>
                <c:pt idx="174">
                  <c:v>41880</c:v>
                </c:pt>
                <c:pt idx="175">
                  <c:v>41879</c:v>
                </c:pt>
                <c:pt idx="176">
                  <c:v>41878</c:v>
                </c:pt>
                <c:pt idx="177">
                  <c:v>41877</c:v>
                </c:pt>
                <c:pt idx="178">
                  <c:v>41876</c:v>
                </c:pt>
                <c:pt idx="179">
                  <c:v>41873</c:v>
                </c:pt>
                <c:pt idx="180">
                  <c:v>41872</c:v>
                </c:pt>
                <c:pt idx="181">
                  <c:v>41871</c:v>
                </c:pt>
                <c:pt idx="182">
                  <c:v>41870</c:v>
                </c:pt>
                <c:pt idx="183">
                  <c:v>41869</c:v>
                </c:pt>
                <c:pt idx="184">
                  <c:v>41866</c:v>
                </c:pt>
                <c:pt idx="185">
                  <c:v>41865</c:v>
                </c:pt>
                <c:pt idx="186">
                  <c:v>41864</c:v>
                </c:pt>
                <c:pt idx="187">
                  <c:v>41863</c:v>
                </c:pt>
                <c:pt idx="188">
                  <c:v>41862</c:v>
                </c:pt>
                <c:pt idx="189">
                  <c:v>41859</c:v>
                </c:pt>
                <c:pt idx="190">
                  <c:v>41858</c:v>
                </c:pt>
                <c:pt idx="191">
                  <c:v>41857</c:v>
                </c:pt>
                <c:pt idx="192">
                  <c:v>41856</c:v>
                </c:pt>
                <c:pt idx="193">
                  <c:v>41855</c:v>
                </c:pt>
                <c:pt idx="194">
                  <c:v>41852</c:v>
                </c:pt>
                <c:pt idx="195">
                  <c:v>41851</c:v>
                </c:pt>
                <c:pt idx="196">
                  <c:v>41850</c:v>
                </c:pt>
                <c:pt idx="197">
                  <c:v>41849</c:v>
                </c:pt>
                <c:pt idx="198">
                  <c:v>41848</c:v>
                </c:pt>
                <c:pt idx="199">
                  <c:v>41845</c:v>
                </c:pt>
                <c:pt idx="200">
                  <c:v>41844</c:v>
                </c:pt>
                <c:pt idx="201">
                  <c:v>41843</c:v>
                </c:pt>
                <c:pt idx="202">
                  <c:v>41842</c:v>
                </c:pt>
                <c:pt idx="203">
                  <c:v>41841</c:v>
                </c:pt>
                <c:pt idx="204">
                  <c:v>41838</c:v>
                </c:pt>
                <c:pt idx="205">
                  <c:v>41837</c:v>
                </c:pt>
                <c:pt idx="206">
                  <c:v>41836</c:v>
                </c:pt>
                <c:pt idx="207">
                  <c:v>41835</c:v>
                </c:pt>
                <c:pt idx="208">
                  <c:v>41834</c:v>
                </c:pt>
                <c:pt idx="209">
                  <c:v>41831</c:v>
                </c:pt>
                <c:pt idx="210">
                  <c:v>41830</c:v>
                </c:pt>
                <c:pt idx="211">
                  <c:v>41829</c:v>
                </c:pt>
                <c:pt idx="212">
                  <c:v>41828</c:v>
                </c:pt>
                <c:pt idx="213">
                  <c:v>41827</c:v>
                </c:pt>
                <c:pt idx="214">
                  <c:v>41824</c:v>
                </c:pt>
                <c:pt idx="215">
                  <c:v>41823</c:v>
                </c:pt>
                <c:pt idx="216">
                  <c:v>41822</c:v>
                </c:pt>
                <c:pt idx="217">
                  <c:v>41821</c:v>
                </c:pt>
                <c:pt idx="218">
                  <c:v>41820</c:v>
                </c:pt>
                <c:pt idx="219">
                  <c:v>41817</c:v>
                </c:pt>
                <c:pt idx="220">
                  <c:v>41816</c:v>
                </c:pt>
                <c:pt idx="221">
                  <c:v>41815</c:v>
                </c:pt>
                <c:pt idx="222">
                  <c:v>41814</c:v>
                </c:pt>
                <c:pt idx="223">
                  <c:v>41813</c:v>
                </c:pt>
                <c:pt idx="224">
                  <c:v>41810</c:v>
                </c:pt>
                <c:pt idx="225">
                  <c:v>41809</c:v>
                </c:pt>
                <c:pt idx="226">
                  <c:v>41808</c:v>
                </c:pt>
                <c:pt idx="227">
                  <c:v>41807</c:v>
                </c:pt>
                <c:pt idx="228">
                  <c:v>41806</c:v>
                </c:pt>
                <c:pt idx="229">
                  <c:v>41803</c:v>
                </c:pt>
                <c:pt idx="230">
                  <c:v>41802</c:v>
                </c:pt>
                <c:pt idx="231">
                  <c:v>41801</c:v>
                </c:pt>
                <c:pt idx="232">
                  <c:v>41800</c:v>
                </c:pt>
                <c:pt idx="233">
                  <c:v>41799</c:v>
                </c:pt>
                <c:pt idx="234">
                  <c:v>41796</c:v>
                </c:pt>
                <c:pt idx="235">
                  <c:v>41795</c:v>
                </c:pt>
                <c:pt idx="236">
                  <c:v>41794</c:v>
                </c:pt>
                <c:pt idx="237">
                  <c:v>41793</c:v>
                </c:pt>
                <c:pt idx="238">
                  <c:v>41792</c:v>
                </c:pt>
                <c:pt idx="239">
                  <c:v>41789</c:v>
                </c:pt>
                <c:pt idx="240">
                  <c:v>41788</c:v>
                </c:pt>
                <c:pt idx="241">
                  <c:v>41787</c:v>
                </c:pt>
                <c:pt idx="242">
                  <c:v>41786</c:v>
                </c:pt>
                <c:pt idx="243">
                  <c:v>41785</c:v>
                </c:pt>
                <c:pt idx="244">
                  <c:v>41782</c:v>
                </c:pt>
                <c:pt idx="245">
                  <c:v>41781</c:v>
                </c:pt>
                <c:pt idx="246">
                  <c:v>41780</c:v>
                </c:pt>
                <c:pt idx="247">
                  <c:v>41779</c:v>
                </c:pt>
                <c:pt idx="248">
                  <c:v>41778</c:v>
                </c:pt>
                <c:pt idx="249">
                  <c:v>41775</c:v>
                </c:pt>
                <c:pt idx="250">
                  <c:v>41774</c:v>
                </c:pt>
                <c:pt idx="251">
                  <c:v>41773</c:v>
                </c:pt>
                <c:pt idx="252">
                  <c:v>41772</c:v>
                </c:pt>
                <c:pt idx="253">
                  <c:v>41771</c:v>
                </c:pt>
                <c:pt idx="254">
                  <c:v>41768</c:v>
                </c:pt>
                <c:pt idx="255">
                  <c:v>41767</c:v>
                </c:pt>
                <c:pt idx="256">
                  <c:v>41766</c:v>
                </c:pt>
                <c:pt idx="257">
                  <c:v>41765</c:v>
                </c:pt>
                <c:pt idx="258">
                  <c:v>41764</c:v>
                </c:pt>
                <c:pt idx="259">
                  <c:v>41761</c:v>
                </c:pt>
                <c:pt idx="260">
                  <c:v>41760</c:v>
                </c:pt>
                <c:pt idx="261">
                  <c:v>41759</c:v>
                </c:pt>
                <c:pt idx="262">
                  <c:v>41758</c:v>
                </c:pt>
                <c:pt idx="263">
                  <c:v>41757</c:v>
                </c:pt>
                <c:pt idx="264">
                  <c:v>41754</c:v>
                </c:pt>
                <c:pt idx="265">
                  <c:v>41753</c:v>
                </c:pt>
                <c:pt idx="266">
                  <c:v>41752</c:v>
                </c:pt>
                <c:pt idx="267">
                  <c:v>41751</c:v>
                </c:pt>
                <c:pt idx="268">
                  <c:v>41750</c:v>
                </c:pt>
                <c:pt idx="269">
                  <c:v>41747</c:v>
                </c:pt>
                <c:pt idx="270">
                  <c:v>41746</c:v>
                </c:pt>
                <c:pt idx="271">
                  <c:v>41745</c:v>
                </c:pt>
                <c:pt idx="272">
                  <c:v>41744</c:v>
                </c:pt>
                <c:pt idx="273">
                  <c:v>41743</c:v>
                </c:pt>
                <c:pt idx="274">
                  <c:v>41740</c:v>
                </c:pt>
                <c:pt idx="275">
                  <c:v>41739</c:v>
                </c:pt>
                <c:pt idx="276">
                  <c:v>41738</c:v>
                </c:pt>
                <c:pt idx="277">
                  <c:v>41737</c:v>
                </c:pt>
                <c:pt idx="278">
                  <c:v>41736</c:v>
                </c:pt>
                <c:pt idx="279">
                  <c:v>41733</c:v>
                </c:pt>
                <c:pt idx="280">
                  <c:v>41732</c:v>
                </c:pt>
                <c:pt idx="281">
                  <c:v>41731</c:v>
                </c:pt>
                <c:pt idx="282">
                  <c:v>41730</c:v>
                </c:pt>
                <c:pt idx="283">
                  <c:v>41729</c:v>
                </c:pt>
                <c:pt idx="284">
                  <c:v>41726</c:v>
                </c:pt>
                <c:pt idx="285">
                  <c:v>41725</c:v>
                </c:pt>
                <c:pt idx="286">
                  <c:v>41724</c:v>
                </c:pt>
                <c:pt idx="287">
                  <c:v>41723</c:v>
                </c:pt>
                <c:pt idx="288">
                  <c:v>41722</c:v>
                </c:pt>
                <c:pt idx="289">
                  <c:v>41719</c:v>
                </c:pt>
                <c:pt idx="290">
                  <c:v>41718</c:v>
                </c:pt>
                <c:pt idx="291">
                  <c:v>41717</c:v>
                </c:pt>
                <c:pt idx="292">
                  <c:v>41716</c:v>
                </c:pt>
                <c:pt idx="293">
                  <c:v>41715</c:v>
                </c:pt>
                <c:pt idx="294">
                  <c:v>41712</c:v>
                </c:pt>
                <c:pt idx="295">
                  <c:v>41711</c:v>
                </c:pt>
                <c:pt idx="296">
                  <c:v>41710</c:v>
                </c:pt>
                <c:pt idx="297">
                  <c:v>41709</c:v>
                </c:pt>
                <c:pt idx="298">
                  <c:v>41708</c:v>
                </c:pt>
                <c:pt idx="299">
                  <c:v>41705</c:v>
                </c:pt>
                <c:pt idx="300">
                  <c:v>41704</c:v>
                </c:pt>
                <c:pt idx="301">
                  <c:v>41703</c:v>
                </c:pt>
                <c:pt idx="302">
                  <c:v>41702</c:v>
                </c:pt>
                <c:pt idx="303">
                  <c:v>41701</c:v>
                </c:pt>
                <c:pt idx="304">
                  <c:v>41698</c:v>
                </c:pt>
                <c:pt idx="305">
                  <c:v>41697</c:v>
                </c:pt>
                <c:pt idx="306">
                  <c:v>41696</c:v>
                </c:pt>
                <c:pt idx="307">
                  <c:v>41695</c:v>
                </c:pt>
                <c:pt idx="308">
                  <c:v>41694</c:v>
                </c:pt>
                <c:pt idx="309">
                  <c:v>41691</c:v>
                </c:pt>
                <c:pt idx="310">
                  <c:v>41690</c:v>
                </c:pt>
                <c:pt idx="311">
                  <c:v>41689</c:v>
                </c:pt>
                <c:pt idx="312">
                  <c:v>41688</c:v>
                </c:pt>
                <c:pt idx="313">
                  <c:v>41687</c:v>
                </c:pt>
                <c:pt idx="314">
                  <c:v>41684</c:v>
                </c:pt>
                <c:pt idx="315">
                  <c:v>41683</c:v>
                </c:pt>
                <c:pt idx="316">
                  <c:v>41682</c:v>
                </c:pt>
                <c:pt idx="317">
                  <c:v>41681</c:v>
                </c:pt>
                <c:pt idx="318">
                  <c:v>41680</c:v>
                </c:pt>
                <c:pt idx="319">
                  <c:v>41677</c:v>
                </c:pt>
                <c:pt idx="320">
                  <c:v>41676</c:v>
                </c:pt>
                <c:pt idx="321">
                  <c:v>41675</c:v>
                </c:pt>
                <c:pt idx="322">
                  <c:v>41674</c:v>
                </c:pt>
                <c:pt idx="323">
                  <c:v>41673</c:v>
                </c:pt>
                <c:pt idx="324">
                  <c:v>41670</c:v>
                </c:pt>
                <c:pt idx="325">
                  <c:v>41669</c:v>
                </c:pt>
                <c:pt idx="326">
                  <c:v>41668</c:v>
                </c:pt>
                <c:pt idx="327">
                  <c:v>41667</c:v>
                </c:pt>
                <c:pt idx="328">
                  <c:v>41666</c:v>
                </c:pt>
                <c:pt idx="329">
                  <c:v>41663</c:v>
                </c:pt>
                <c:pt idx="330">
                  <c:v>41662</c:v>
                </c:pt>
                <c:pt idx="331">
                  <c:v>41661</c:v>
                </c:pt>
                <c:pt idx="332">
                  <c:v>41660</c:v>
                </c:pt>
                <c:pt idx="333">
                  <c:v>41659</c:v>
                </c:pt>
                <c:pt idx="334">
                  <c:v>41656</c:v>
                </c:pt>
                <c:pt idx="335">
                  <c:v>41655</c:v>
                </c:pt>
                <c:pt idx="336">
                  <c:v>41654</c:v>
                </c:pt>
                <c:pt idx="337">
                  <c:v>41653</c:v>
                </c:pt>
                <c:pt idx="338">
                  <c:v>41652</c:v>
                </c:pt>
                <c:pt idx="339">
                  <c:v>41649</c:v>
                </c:pt>
                <c:pt idx="340">
                  <c:v>41648</c:v>
                </c:pt>
                <c:pt idx="341">
                  <c:v>41647</c:v>
                </c:pt>
                <c:pt idx="342">
                  <c:v>41646</c:v>
                </c:pt>
                <c:pt idx="343">
                  <c:v>41645</c:v>
                </c:pt>
                <c:pt idx="344">
                  <c:v>41642</c:v>
                </c:pt>
                <c:pt idx="345">
                  <c:v>41641</c:v>
                </c:pt>
                <c:pt idx="346">
                  <c:v>41640</c:v>
                </c:pt>
                <c:pt idx="347">
                  <c:v>41639</c:v>
                </c:pt>
              </c:numCache>
            </c:numRef>
          </c:cat>
          <c:val>
            <c:numRef>
              <c:f>'Cot-Px'!$O$6:$O$492</c:f>
              <c:numCache>
                <c:formatCode>0.000%</c:formatCode>
                <c:ptCount val="48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20-2143-A1D7-54618581F2E4}"/>
            </c:ext>
          </c:extLst>
        </c:ser>
        <c:ser>
          <c:idx val="2"/>
          <c:order val="1"/>
          <c:tx>
            <c:strRef>
              <c:f>'Cot-Px'!$Q$5</c:f>
              <c:strCache>
                <c:ptCount val="1"/>
                <c:pt idx="0">
                  <c:v>Precio completo</c:v>
                </c:pt>
              </c:strCache>
            </c:strRef>
          </c:tx>
          <c:spPr>
            <a:ln w="25400">
              <a:solidFill>
                <a:srgbClr val="999933"/>
              </a:solidFill>
              <a:prstDash val="solid"/>
            </a:ln>
          </c:spPr>
          <c:marker>
            <c:symbol val="none"/>
          </c:marker>
          <c:cat>
            <c:numRef>
              <c:f>'Cot-Px'!$N$6:$N$492</c:f>
              <c:numCache>
                <c:formatCode>dd\-mmm\-yyyy\ ddd</c:formatCode>
                <c:ptCount val="487"/>
                <c:pt idx="0">
                  <c:v>42124</c:v>
                </c:pt>
                <c:pt idx="1">
                  <c:v>42123</c:v>
                </c:pt>
                <c:pt idx="2">
                  <c:v>42122</c:v>
                </c:pt>
                <c:pt idx="3">
                  <c:v>42121</c:v>
                </c:pt>
                <c:pt idx="4">
                  <c:v>42118</c:v>
                </c:pt>
                <c:pt idx="5">
                  <c:v>42117</c:v>
                </c:pt>
                <c:pt idx="6">
                  <c:v>42116</c:v>
                </c:pt>
                <c:pt idx="7">
                  <c:v>42115</c:v>
                </c:pt>
                <c:pt idx="8">
                  <c:v>42114</c:v>
                </c:pt>
                <c:pt idx="9">
                  <c:v>42111</c:v>
                </c:pt>
                <c:pt idx="10">
                  <c:v>42110</c:v>
                </c:pt>
                <c:pt idx="11">
                  <c:v>42109</c:v>
                </c:pt>
                <c:pt idx="12">
                  <c:v>42108</c:v>
                </c:pt>
                <c:pt idx="13">
                  <c:v>42107</c:v>
                </c:pt>
                <c:pt idx="14">
                  <c:v>42104</c:v>
                </c:pt>
                <c:pt idx="15">
                  <c:v>42103</c:v>
                </c:pt>
                <c:pt idx="16">
                  <c:v>42102</c:v>
                </c:pt>
                <c:pt idx="17">
                  <c:v>42101</c:v>
                </c:pt>
                <c:pt idx="18">
                  <c:v>42100</c:v>
                </c:pt>
                <c:pt idx="19">
                  <c:v>42097</c:v>
                </c:pt>
                <c:pt idx="20">
                  <c:v>42096</c:v>
                </c:pt>
                <c:pt idx="21">
                  <c:v>42095</c:v>
                </c:pt>
                <c:pt idx="22">
                  <c:v>42094</c:v>
                </c:pt>
                <c:pt idx="23">
                  <c:v>42093</c:v>
                </c:pt>
                <c:pt idx="24">
                  <c:v>42090</c:v>
                </c:pt>
                <c:pt idx="25">
                  <c:v>42089</c:v>
                </c:pt>
                <c:pt idx="26">
                  <c:v>42088</c:v>
                </c:pt>
                <c:pt idx="27">
                  <c:v>42087</c:v>
                </c:pt>
                <c:pt idx="28">
                  <c:v>42086</c:v>
                </c:pt>
                <c:pt idx="29">
                  <c:v>42083</c:v>
                </c:pt>
                <c:pt idx="30">
                  <c:v>42082</c:v>
                </c:pt>
                <c:pt idx="31">
                  <c:v>42081</c:v>
                </c:pt>
                <c:pt idx="32">
                  <c:v>42080</c:v>
                </c:pt>
                <c:pt idx="33">
                  <c:v>42079</c:v>
                </c:pt>
                <c:pt idx="34">
                  <c:v>42076</c:v>
                </c:pt>
                <c:pt idx="35">
                  <c:v>42075</c:v>
                </c:pt>
                <c:pt idx="36">
                  <c:v>42074</c:v>
                </c:pt>
                <c:pt idx="37">
                  <c:v>42073</c:v>
                </c:pt>
                <c:pt idx="38">
                  <c:v>42072</c:v>
                </c:pt>
                <c:pt idx="39">
                  <c:v>42069</c:v>
                </c:pt>
                <c:pt idx="40">
                  <c:v>42068</c:v>
                </c:pt>
                <c:pt idx="41">
                  <c:v>42067</c:v>
                </c:pt>
                <c:pt idx="42">
                  <c:v>42066</c:v>
                </c:pt>
                <c:pt idx="43">
                  <c:v>42065</c:v>
                </c:pt>
                <c:pt idx="44">
                  <c:v>42062</c:v>
                </c:pt>
                <c:pt idx="45">
                  <c:v>42061</c:v>
                </c:pt>
                <c:pt idx="46">
                  <c:v>42060</c:v>
                </c:pt>
                <c:pt idx="47">
                  <c:v>42059</c:v>
                </c:pt>
                <c:pt idx="48">
                  <c:v>42058</c:v>
                </c:pt>
                <c:pt idx="49">
                  <c:v>42055</c:v>
                </c:pt>
                <c:pt idx="50">
                  <c:v>42054</c:v>
                </c:pt>
                <c:pt idx="51">
                  <c:v>42053</c:v>
                </c:pt>
                <c:pt idx="52">
                  <c:v>42052</c:v>
                </c:pt>
                <c:pt idx="53">
                  <c:v>42051</c:v>
                </c:pt>
                <c:pt idx="54">
                  <c:v>42048</c:v>
                </c:pt>
                <c:pt idx="55">
                  <c:v>42047</c:v>
                </c:pt>
                <c:pt idx="56">
                  <c:v>42046</c:v>
                </c:pt>
                <c:pt idx="57">
                  <c:v>42045</c:v>
                </c:pt>
                <c:pt idx="58">
                  <c:v>42044</c:v>
                </c:pt>
                <c:pt idx="59">
                  <c:v>42041</c:v>
                </c:pt>
                <c:pt idx="60">
                  <c:v>42040</c:v>
                </c:pt>
                <c:pt idx="61">
                  <c:v>42039</c:v>
                </c:pt>
                <c:pt idx="62">
                  <c:v>42038</c:v>
                </c:pt>
                <c:pt idx="63">
                  <c:v>42037</c:v>
                </c:pt>
                <c:pt idx="64">
                  <c:v>42034</c:v>
                </c:pt>
                <c:pt idx="65">
                  <c:v>42033</c:v>
                </c:pt>
                <c:pt idx="66">
                  <c:v>42032</c:v>
                </c:pt>
                <c:pt idx="67">
                  <c:v>42031</c:v>
                </c:pt>
                <c:pt idx="68">
                  <c:v>42030</c:v>
                </c:pt>
                <c:pt idx="69">
                  <c:v>42027</c:v>
                </c:pt>
                <c:pt idx="70">
                  <c:v>42026</c:v>
                </c:pt>
                <c:pt idx="71">
                  <c:v>42025</c:v>
                </c:pt>
                <c:pt idx="72">
                  <c:v>42024</c:v>
                </c:pt>
                <c:pt idx="73">
                  <c:v>42023</c:v>
                </c:pt>
                <c:pt idx="74">
                  <c:v>42020</c:v>
                </c:pt>
                <c:pt idx="75">
                  <c:v>42019</c:v>
                </c:pt>
                <c:pt idx="76">
                  <c:v>42018</c:v>
                </c:pt>
                <c:pt idx="77">
                  <c:v>42017</c:v>
                </c:pt>
                <c:pt idx="78">
                  <c:v>42016</c:v>
                </c:pt>
                <c:pt idx="79">
                  <c:v>42013</c:v>
                </c:pt>
                <c:pt idx="80">
                  <c:v>42012</c:v>
                </c:pt>
                <c:pt idx="81">
                  <c:v>42011</c:v>
                </c:pt>
                <c:pt idx="82">
                  <c:v>42010</c:v>
                </c:pt>
                <c:pt idx="83">
                  <c:v>42009</c:v>
                </c:pt>
                <c:pt idx="84">
                  <c:v>42006</c:v>
                </c:pt>
                <c:pt idx="85">
                  <c:v>42005</c:v>
                </c:pt>
                <c:pt idx="86">
                  <c:v>42004</c:v>
                </c:pt>
                <c:pt idx="87">
                  <c:v>42003</c:v>
                </c:pt>
                <c:pt idx="88">
                  <c:v>42002</c:v>
                </c:pt>
                <c:pt idx="89">
                  <c:v>41999</c:v>
                </c:pt>
                <c:pt idx="90">
                  <c:v>41998</c:v>
                </c:pt>
                <c:pt idx="91">
                  <c:v>41997</c:v>
                </c:pt>
                <c:pt idx="92">
                  <c:v>41996</c:v>
                </c:pt>
                <c:pt idx="93">
                  <c:v>41995</c:v>
                </c:pt>
                <c:pt idx="94">
                  <c:v>41992</c:v>
                </c:pt>
                <c:pt idx="95">
                  <c:v>41991</c:v>
                </c:pt>
                <c:pt idx="96">
                  <c:v>41990</c:v>
                </c:pt>
                <c:pt idx="97">
                  <c:v>41989</c:v>
                </c:pt>
                <c:pt idx="98">
                  <c:v>41988</c:v>
                </c:pt>
                <c:pt idx="99">
                  <c:v>41985</c:v>
                </c:pt>
                <c:pt idx="100">
                  <c:v>41984</c:v>
                </c:pt>
                <c:pt idx="101">
                  <c:v>41983</c:v>
                </c:pt>
                <c:pt idx="102">
                  <c:v>41982</c:v>
                </c:pt>
                <c:pt idx="103">
                  <c:v>41981</c:v>
                </c:pt>
                <c:pt idx="104">
                  <c:v>41978</c:v>
                </c:pt>
                <c:pt idx="105">
                  <c:v>41977</c:v>
                </c:pt>
                <c:pt idx="106">
                  <c:v>41976</c:v>
                </c:pt>
                <c:pt idx="107">
                  <c:v>41975</c:v>
                </c:pt>
                <c:pt idx="108">
                  <c:v>41974</c:v>
                </c:pt>
                <c:pt idx="109">
                  <c:v>41971</c:v>
                </c:pt>
                <c:pt idx="110">
                  <c:v>41970</c:v>
                </c:pt>
                <c:pt idx="111">
                  <c:v>41969</c:v>
                </c:pt>
                <c:pt idx="112">
                  <c:v>41968</c:v>
                </c:pt>
                <c:pt idx="113">
                  <c:v>41967</c:v>
                </c:pt>
                <c:pt idx="114">
                  <c:v>41964</c:v>
                </c:pt>
                <c:pt idx="115">
                  <c:v>41963</c:v>
                </c:pt>
                <c:pt idx="116">
                  <c:v>41962</c:v>
                </c:pt>
                <c:pt idx="117">
                  <c:v>41961</c:v>
                </c:pt>
                <c:pt idx="118">
                  <c:v>41960</c:v>
                </c:pt>
                <c:pt idx="119">
                  <c:v>41957</c:v>
                </c:pt>
                <c:pt idx="120">
                  <c:v>41956</c:v>
                </c:pt>
                <c:pt idx="121">
                  <c:v>41955</c:v>
                </c:pt>
                <c:pt idx="122">
                  <c:v>41954</c:v>
                </c:pt>
                <c:pt idx="123">
                  <c:v>41953</c:v>
                </c:pt>
                <c:pt idx="124">
                  <c:v>41950</c:v>
                </c:pt>
                <c:pt idx="125">
                  <c:v>41949</c:v>
                </c:pt>
                <c:pt idx="126">
                  <c:v>41948</c:v>
                </c:pt>
                <c:pt idx="127">
                  <c:v>41947</c:v>
                </c:pt>
                <c:pt idx="128">
                  <c:v>41946</c:v>
                </c:pt>
                <c:pt idx="129">
                  <c:v>41943</c:v>
                </c:pt>
                <c:pt idx="130">
                  <c:v>41942</c:v>
                </c:pt>
                <c:pt idx="131">
                  <c:v>41941</c:v>
                </c:pt>
                <c:pt idx="132">
                  <c:v>41940</c:v>
                </c:pt>
                <c:pt idx="133">
                  <c:v>41939</c:v>
                </c:pt>
                <c:pt idx="134">
                  <c:v>41936</c:v>
                </c:pt>
                <c:pt idx="135">
                  <c:v>41935</c:v>
                </c:pt>
                <c:pt idx="136">
                  <c:v>41934</c:v>
                </c:pt>
                <c:pt idx="137">
                  <c:v>41933</c:v>
                </c:pt>
                <c:pt idx="138">
                  <c:v>41932</c:v>
                </c:pt>
                <c:pt idx="139">
                  <c:v>41929</c:v>
                </c:pt>
                <c:pt idx="140">
                  <c:v>41928</c:v>
                </c:pt>
                <c:pt idx="141">
                  <c:v>41927</c:v>
                </c:pt>
                <c:pt idx="142">
                  <c:v>41926</c:v>
                </c:pt>
                <c:pt idx="143">
                  <c:v>41925</c:v>
                </c:pt>
                <c:pt idx="144">
                  <c:v>41922</c:v>
                </c:pt>
                <c:pt idx="145">
                  <c:v>41921</c:v>
                </c:pt>
                <c:pt idx="146">
                  <c:v>41920</c:v>
                </c:pt>
                <c:pt idx="147">
                  <c:v>41919</c:v>
                </c:pt>
                <c:pt idx="148">
                  <c:v>41918</c:v>
                </c:pt>
                <c:pt idx="149">
                  <c:v>41915</c:v>
                </c:pt>
                <c:pt idx="150">
                  <c:v>41914</c:v>
                </c:pt>
                <c:pt idx="151">
                  <c:v>41913</c:v>
                </c:pt>
                <c:pt idx="152">
                  <c:v>41912</c:v>
                </c:pt>
                <c:pt idx="153">
                  <c:v>41911</c:v>
                </c:pt>
                <c:pt idx="154">
                  <c:v>41908</c:v>
                </c:pt>
                <c:pt idx="155">
                  <c:v>41907</c:v>
                </c:pt>
                <c:pt idx="156">
                  <c:v>41906</c:v>
                </c:pt>
                <c:pt idx="157">
                  <c:v>41905</c:v>
                </c:pt>
                <c:pt idx="158">
                  <c:v>41904</c:v>
                </c:pt>
                <c:pt idx="159">
                  <c:v>41901</c:v>
                </c:pt>
                <c:pt idx="160">
                  <c:v>41900</c:v>
                </c:pt>
                <c:pt idx="161">
                  <c:v>41899</c:v>
                </c:pt>
                <c:pt idx="162">
                  <c:v>41898</c:v>
                </c:pt>
                <c:pt idx="163">
                  <c:v>41897</c:v>
                </c:pt>
                <c:pt idx="164">
                  <c:v>41894</c:v>
                </c:pt>
                <c:pt idx="165">
                  <c:v>41893</c:v>
                </c:pt>
                <c:pt idx="166">
                  <c:v>41892</c:v>
                </c:pt>
                <c:pt idx="167">
                  <c:v>41891</c:v>
                </c:pt>
                <c:pt idx="168">
                  <c:v>41890</c:v>
                </c:pt>
                <c:pt idx="169">
                  <c:v>41887</c:v>
                </c:pt>
                <c:pt idx="170">
                  <c:v>41886</c:v>
                </c:pt>
                <c:pt idx="171">
                  <c:v>41885</c:v>
                </c:pt>
                <c:pt idx="172">
                  <c:v>41884</c:v>
                </c:pt>
                <c:pt idx="173">
                  <c:v>41883</c:v>
                </c:pt>
                <c:pt idx="174">
                  <c:v>41880</c:v>
                </c:pt>
                <c:pt idx="175">
                  <c:v>41879</c:v>
                </c:pt>
                <c:pt idx="176">
                  <c:v>41878</c:v>
                </c:pt>
                <c:pt idx="177">
                  <c:v>41877</c:v>
                </c:pt>
                <c:pt idx="178">
                  <c:v>41876</c:v>
                </c:pt>
                <c:pt idx="179">
                  <c:v>41873</c:v>
                </c:pt>
                <c:pt idx="180">
                  <c:v>41872</c:v>
                </c:pt>
                <c:pt idx="181">
                  <c:v>41871</c:v>
                </c:pt>
                <c:pt idx="182">
                  <c:v>41870</c:v>
                </c:pt>
                <c:pt idx="183">
                  <c:v>41869</c:v>
                </c:pt>
                <c:pt idx="184">
                  <c:v>41866</c:v>
                </c:pt>
                <c:pt idx="185">
                  <c:v>41865</c:v>
                </c:pt>
                <c:pt idx="186">
                  <c:v>41864</c:v>
                </c:pt>
                <c:pt idx="187">
                  <c:v>41863</c:v>
                </c:pt>
                <c:pt idx="188">
                  <c:v>41862</c:v>
                </c:pt>
                <c:pt idx="189">
                  <c:v>41859</c:v>
                </c:pt>
                <c:pt idx="190">
                  <c:v>41858</c:v>
                </c:pt>
                <c:pt idx="191">
                  <c:v>41857</c:v>
                </c:pt>
                <c:pt idx="192">
                  <c:v>41856</c:v>
                </c:pt>
                <c:pt idx="193">
                  <c:v>41855</c:v>
                </c:pt>
                <c:pt idx="194">
                  <c:v>41852</c:v>
                </c:pt>
                <c:pt idx="195">
                  <c:v>41851</c:v>
                </c:pt>
                <c:pt idx="196">
                  <c:v>41850</c:v>
                </c:pt>
                <c:pt idx="197">
                  <c:v>41849</c:v>
                </c:pt>
                <c:pt idx="198">
                  <c:v>41848</c:v>
                </c:pt>
                <c:pt idx="199">
                  <c:v>41845</c:v>
                </c:pt>
                <c:pt idx="200">
                  <c:v>41844</c:v>
                </c:pt>
                <c:pt idx="201">
                  <c:v>41843</c:v>
                </c:pt>
                <c:pt idx="202">
                  <c:v>41842</c:v>
                </c:pt>
                <c:pt idx="203">
                  <c:v>41841</c:v>
                </c:pt>
                <c:pt idx="204">
                  <c:v>41838</c:v>
                </c:pt>
                <c:pt idx="205">
                  <c:v>41837</c:v>
                </c:pt>
                <c:pt idx="206">
                  <c:v>41836</c:v>
                </c:pt>
                <c:pt idx="207">
                  <c:v>41835</c:v>
                </c:pt>
                <c:pt idx="208">
                  <c:v>41834</c:v>
                </c:pt>
                <c:pt idx="209">
                  <c:v>41831</c:v>
                </c:pt>
                <c:pt idx="210">
                  <c:v>41830</c:v>
                </c:pt>
                <c:pt idx="211">
                  <c:v>41829</c:v>
                </c:pt>
                <c:pt idx="212">
                  <c:v>41828</c:v>
                </c:pt>
                <c:pt idx="213">
                  <c:v>41827</c:v>
                </c:pt>
                <c:pt idx="214">
                  <c:v>41824</c:v>
                </c:pt>
                <c:pt idx="215">
                  <c:v>41823</c:v>
                </c:pt>
                <c:pt idx="216">
                  <c:v>41822</c:v>
                </c:pt>
                <c:pt idx="217">
                  <c:v>41821</c:v>
                </c:pt>
                <c:pt idx="218">
                  <c:v>41820</c:v>
                </c:pt>
                <c:pt idx="219">
                  <c:v>41817</c:v>
                </c:pt>
                <c:pt idx="220">
                  <c:v>41816</c:v>
                </c:pt>
                <c:pt idx="221">
                  <c:v>41815</c:v>
                </c:pt>
                <c:pt idx="222">
                  <c:v>41814</c:v>
                </c:pt>
                <c:pt idx="223">
                  <c:v>41813</c:v>
                </c:pt>
                <c:pt idx="224">
                  <c:v>41810</c:v>
                </c:pt>
                <c:pt idx="225">
                  <c:v>41809</c:v>
                </c:pt>
                <c:pt idx="226">
                  <c:v>41808</c:v>
                </c:pt>
                <c:pt idx="227">
                  <c:v>41807</c:v>
                </c:pt>
                <c:pt idx="228">
                  <c:v>41806</c:v>
                </c:pt>
                <c:pt idx="229">
                  <c:v>41803</c:v>
                </c:pt>
                <c:pt idx="230">
                  <c:v>41802</c:v>
                </c:pt>
                <c:pt idx="231">
                  <c:v>41801</c:v>
                </c:pt>
                <c:pt idx="232">
                  <c:v>41800</c:v>
                </c:pt>
                <c:pt idx="233">
                  <c:v>41799</c:v>
                </c:pt>
                <c:pt idx="234">
                  <c:v>41796</c:v>
                </c:pt>
                <c:pt idx="235">
                  <c:v>41795</c:v>
                </c:pt>
                <c:pt idx="236">
                  <c:v>41794</c:v>
                </c:pt>
                <c:pt idx="237">
                  <c:v>41793</c:v>
                </c:pt>
                <c:pt idx="238">
                  <c:v>41792</c:v>
                </c:pt>
                <c:pt idx="239">
                  <c:v>41789</c:v>
                </c:pt>
                <c:pt idx="240">
                  <c:v>41788</c:v>
                </c:pt>
                <c:pt idx="241">
                  <c:v>41787</c:v>
                </c:pt>
                <c:pt idx="242">
                  <c:v>41786</c:v>
                </c:pt>
                <c:pt idx="243">
                  <c:v>41785</c:v>
                </c:pt>
                <c:pt idx="244">
                  <c:v>41782</c:v>
                </c:pt>
                <c:pt idx="245">
                  <c:v>41781</c:v>
                </c:pt>
                <c:pt idx="246">
                  <c:v>41780</c:v>
                </c:pt>
                <c:pt idx="247">
                  <c:v>41779</c:v>
                </c:pt>
                <c:pt idx="248">
                  <c:v>41778</c:v>
                </c:pt>
                <c:pt idx="249">
                  <c:v>41775</c:v>
                </c:pt>
                <c:pt idx="250">
                  <c:v>41774</c:v>
                </c:pt>
                <c:pt idx="251">
                  <c:v>41773</c:v>
                </c:pt>
                <c:pt idx="252">
                  <c:v>41772</c:v>
                </c:pt>
                <c:pt idx="253">
                  <c:v>41771</c:v>
                </c:pt>
                <c:pt idx="254">
                  <c:v>41768</c:v>
                </c:pt>
                <c:pt idx="255">
                  <c:v>41767</c:v>
                </c:pt>
                <c:pt idx="256">
                  <c:v>41766</c:v>
                </c:pt>
                <c:pt idx="257">
                  <c:v>41765</c:v>
                </c:pt>
                <c:pt idx="258">
                  <c:v>41764</c:v>
                </c:pt>
                <c:pt idx="259">
                  <c:v>41761</c:v>
                </c:pt>
                <c:pt idx="260">
                  <c:v>41760</c:v>
                </c:pt>
                <c:pt idx="261">
                  <c:v>41759</c:v>
                </c:pt>
                <c:pt idx="262">
                  <c:v>41758</c:v>
                </c:pt>
                <c:pt idx="263">
                  <c:v>41757</c:v>
                </c:pt>
                <c:pt idx="264">
                  <c:v>41754</c:v>
                </c:pt>
                <c:pt idx="265">
                  <c:v>41753</c:v>
                </c:pt>
                <c:pt idx="266">
                  <c:v>41752</c:v>
                </c:pt>
                <c:pt idx="267">
                  <c:v>41751</c:v>
                </c:pt>
                <c:pt idx="268">
                  <c:v>41750</c:v>
                </c:pt>
                <c:pt idx="269">
                  <c:v>41747</c:v>
                </c:pt>
                <c:pt idx="270">
                  <c:v>41746</c:v>
                </c:pt>
                <c:pt idx="271">
                  <c:v>41745</c:v>
                </c:pt>
                <c:pt idx="272">
                  <c:v>41744</c:v>
                </c:pt>
                <c:pt idx="273">
                  <c:v>41743</c:v>
                </c:pt>
                <c:pt idx="274">
                  <c:v>41740</c:v>
                </c:pt>
                <c:pt idx="275">
                  <c:v>41739</c:v>
                </c:pt>
                <c:pt idx="276">
                  <c:v>41738</c:v>
                </c:pt>
                <c:pt idx="277">
                  <c:v>41737</c:v>
                </c:pt>
                <c:pt idx="278">
                  <c:v>41736</c:v>
                </c:pt>
                <c:pt idx="279">
                  <c:v>41733</c:v>
                </c:pt>
                <c:pt idx="280">
                  <c:v>41732</c:v>
                </c:pt>
                <c:pt idx="281">
                  <c:v>41731</c:v>
                </c:pt>
                <c:pt idx="282">
                  <c:v>41730</c:v>
                </c:pt>
                <c:pt idx="283">
                  <c:v>41729</c:v>
                </c:pt>
                <c:pt idx="284">
                  <c:v>41726</c:v>
                </c:pt>
                <c:pt idx="285">
                  <c:v>41725</c:v>
                </c:pt>
                <c:pt idx="286">
                  <c:v>41724</c:v>
                </c:pt>
                <c:pt idx="287">
                  <c:v>41723</c:v>
                </c:pt>
                <c:pt idx="288">
                  <c:v>41722</c:v>
                </c:pt>
                <c:pt idx="289">
                  <c:v>41719</c:v>
                </c:pt>
                <c:pt idx="290">
                  <c:v>41718</c:v>
                </c:pt>
                <c:pt idx="291">
                  <c:v>41717</c:v>
                </c:pt>
                <c:pt idx="292">
                  <c:v>41716</c:v>
                </c:pt>
                <c:pt idx="293">
                  <c:v>41715</c:v>
                </c:pt>
                <c:pt idx="294">
                  <c:v>41712</c:v>
                </c:pt>
                <c:pt idx="295">
                  <c:v>41711</c:v>
                </c:pt>
                <c:pt idx="296">
                  <c:v>41710</c:v>
                </c:pt>
                <c:pt idx="297">
                  <c:v>41709</c:v>
                </c:pt>
                <c:pt idx="298">
                  <c:v>41708</c:v>
                </c:pt>
                <c:pt idx="299">
                  <c:v>41705</c:v>
                </c:pt>
                <c:pt idx="300">
                  <c:v>41704</c:v>
                </c:pt>
                <c:pt idx="301">
                  <c:v>41703</c:v>
                </c:pt>
                <c:pt idx="302">
                  <c:v>41702</c:v>
                </c:pt>
                <c:pt idx="303">
                  <c:v>41701</c:v>
                </c:pt>
                <c:pt idx="304">
                  <c:v>41698</c:v>
                </c:pt>
                <c:pt idx="305">
                  <c:v>41697</c:v>
                </c:pt>
                <c:pt idx="306">
                  <c:v>41696</c:v>
                </c:pt>
                <c:pt idx="307">
                  <c:v>41695</c:v>
                </c:pt>
                <c:pt idx="308">
                  <c:v>41694</c:v>
                </c:pt>
                <c:pt idx="309">
                  <c:v>41691</c:v>
                </c:pt>
                <c:pt idx="310">
                  <c:v>41690</c:v>
                </c:pt>
                <c:pt idx="311">
                  <c:v>41689</c:v>
                </c:pt>
                <c:pt idx="312">
                  <c:v>41688</c:v>
                </c:pt>
                <c:pt idx="313">
                  <c:v>41687</c:v>
                </c:pt>
                <c:pt idx="314">
                  <c:v>41684</c:v>
                </c:pt>
                <c:pt idx="315">
                  <c:v>41683</c:v>
                </c:pt>
                <c:pt idx="316">
                  <c:v>41682</c:v>
                </c:pt>
                <c:pt idx="317">
                  <c:v>41681</c:v>
                </c:pt>
                <c:pt idx="318">
                  <c:v>41680</c:v>
                </c:pt>
                <c:pt idx="319">
                  <c:v>41677</c:v>
                </c:pt>
                <c:pt idx="320">
                  <c:v>41676</c:v>
                </c:pt>
                <c:pt idx="321">
                  <c:v>41675</c:v>
                </c:pt>
                <c:pt idx="322">
                  <c:v>41674</c:v>
                </c:pt>
                <c:pt idx="323">
                  <c:v>41673</c:v>
                </c:pt>
                <c:pt idx="324">
                  <c:v>41670</c:v>
                </c:pt>
                <c:pt idx="325">
                  <c:v>41669</c:v>
                </c:pt>
                <c:pt idx="326">
                  <c:v>41668</c:v>
                </c:pt>
                <c:pt idx="327">
                  <c:v>41667</c:v>
                </c:pt>
                <c:pt idx="328">
                  <c:v>41666</c:v>
                </c:pt>
                <c:pt idx="329">
                  <c:v>41663</c:v>
                </c:pt>
                <c:pt idx="330">
                  <c:v>41662</c:v>
                </c:pt>
                <c:pt idx="331">
                  <c:v>41661</c:v>
                </c:pt>
                <c:pt idx="332">
                  <c:v>41660</c:v>
                </c:pt>
                <c:pt idx="333">
                  <c:v>41659</c:v>
                </c:pt>
                <c:pt idx="334">
                  <c:v>41656</c:v>
                </c:pt>
                <c:pt idx="335">
                  <c:v>41655</c:v>
                </c:pt>
                <c:pt idx="336">
                  <c:v>41654</c:v>
                </c:pt>
                <c:pt idx="337">
                  <c:v>41653</c:v>
                </c:pt>
                <c:pt idx="338">
                  <c:v>41652</c:v>
                </c:pt>
                <c:pt idx="339">
                  <c:v>41649</c:v>
                </c:pt>
                <c:pt idx="340">
                  <c:v>41648</c:v>
                </c:pt>
                <c:pt idx="341">
                  <c:v>41647</c:v>
                </c:pt>
                <c:pt idx="342">
                  <c:v>41646</c:v>
                </c:pt>
                <c:pt idx="343">
                  <c:v>41645</c:v>
                </c:pt>
                <c:pt idx="344">
                  <c:v>41642</c:v>
                </c:pt>
                <c:pt idx="345">
                  <c:v>41641</c:v>
                </c:pt>
                <c:pt idx="346">
                  <c:v>41640</c:v>
                </c:pt>
                <c:pt idx="347">
                  <c:v>41639</c:v>
                </c:pt>
              </c:numCache>
            </c:numRef>
          </c:cat>
          <c:val>
            <c:numRef>
              <c:f>'Cot-Px'!$Q$6:$Q$492</c:f>
              <c:numCache>
                <c:formatCode>0.000%</c:formatCode>
                <c:ptCount val="487"/>
                <c:pt idx="0">
                  <c:v>1.0102410958904109</c:v>
                </c:pt>
                <c:pt idx="1">
                  <c:v>1.0101260273972603</c:v>
                </c:pt>
                <c:pt idx="2">
                  <c:v>1.0100109589041095</c:v>
                </c:pt>
                <c:pt idx="3">
                  <c:v>1.009895890410959</c:v>
                </c:pt>
                <c:pt idx="4">
                  <c:v>1.0095506849315068</c:v>
                </c:pt>
                <c:pt idx="5">
                  <c:v>1.0094356164383562</c:v>
                </c:pt>
                <c:pt idx="6">
                  <c:v>1.0093205479452054</c:v>
                </c:pt>
                <c:pt idx="7">
                  <c:v>1.0092054794520549</c:v>
                </c:pt>
                <c:pt idx="8">
                  <c:v>1.0090904109589041</c:v>
                </c:pt>
                <c:pt idx="9">
                  <c:v>1.0087452054794521</c:v>
                </c:pt>
                <c:pt idx="10">
                  <c:v>1.0086301369863013</c:v>
                </c:pt>
                <c:pt idx="11">
                  <c:v>1.0085150684931508</c:v>
                </c:pt>
                <c:pt idx="12">
                  <c:v>1.0084</c:v>
                </c:pt>
                <c:pt idx="13">
                  <c:v>1.0082849315068494</c:v>
                </c:pt>
                <c:pt idx="14">
                  <c:v>1.0079397260273972</c:v>
                </c:pt>
                <c:pt idx="15">
                  <c:v>1.0078246575342467</c:v>
                </c:pt>
                <c:pt idx="16">
                  <c:v>1.0077095890410959</c:v>
                </c:pt>
                <c:pt idx="17">
                  <c:v>1.0075945205479453</c:v>
                </c:pt>
                <c:pt idx="18">
                  <c:v>1.0074794520547945</c:v>
                </c:pt>
                <c:pt idx="19">
                  <c:v>1.0071342465753426</c:v>
                </c:pt>
                <c:pt idx="20">
                  <c:v>1.0070191780821918</c:v>
                </c:pt>
                <c:pt idx="21">
                  <c:v>1.0069041095890412</c:v>
                </c:pt>
                <c:pt idx="22">
                  <c:v>1.0067890410958904</c:v>
                </c:pt>
                <c:pt idx="23">
                  <c:v>1.0066739726027398</c:v>
                </c:pt>
                <c:pt idx="24">
                  <c:v>1.0063287671232877</c:v>
                </c:pt>
                <c:pt idx="25">
                  <c:v>1.0062136986301369</c:v>
                </c:pt>
                <c:pt idx="26">
                  <c:v>1.0060986301369863</c:v>
                </c:pt>
                <c:pt idx="27">
                  <c:v>1.0059835616438355</c:v>
                </c:pt>
                <c:pt idx="28">
                  <c:v>1.0058684931506849</c:v>
                </c:pt>
                <c:pt idx="29">
                  <c:v>1.0055232876712328</c:v>
                </c:pt>
                <c:pt idx="30">
                  <c:v>1.0054082191780822</c:v>
                </c:pt>
                <c:pt idx="31">
                  <c:v>1.0052931506849314</c:v>
                </c:pt>
                <c:pt idx="32">
                  <c:v>1.0051780821917808</c:v>
                </c:pt>
                <c:pt idx="33">
                  <c:v>1.00506301369863</c:v>
                </c:pt>
                <c:pt idx="34">
                  <c:v>1.0047178082191781</c:v>
                </c:pt>
                <c:pt idx="35">
                  <c:v>1.0046027397260273</c:v>
                </c:pt>
                <c:pt idx="36">
                  <c:v>1.0044876712328767</c:v>
                </c:pt>
                <c:pt idx="37">
                  <c:v>1.004372602739726</c:v>
                </c:pt>
                <c:pt idx="38">
                  <c:v>1.0042575342465754</c:v>
                </c:pt>
                <c:pt idx="39">
                  <c:v>1.0039123287671232</c:v>
                </c:pt>
                <c:pt idx="40">
                  <c:v>1.0037972602739726</c:v>
                </c:pt>
                <c:pt idx="41">
                  <c:v>1.0036821917808219</c:v>
                </c:pt>
                <c:pt idx="42">
                  <c:v>1.0035671232876713</c:v>
                </c:pt>
                <c:pt idx="43">
                  <c:v>1.0034520547945205</c:v>
                </c:pt>
                <c:pt idx="44">
                  <c:v>1.0031068493150685</c:v>
                </c:pt>
                <c:pt idx="45">
                  <c:v>1.0029917808219178</c:v>
                </c:pt>
                <c:pt idx="46">
                  <c:v>1.0028767123287672</c:v>
                </c:pt>
                <c:pt idx="47">
                  <c:v>1.0027616438356164</c:v>
                </c:pt>
                <c:pt idx="48">
                  <c:v>1.0026465753424658</c:v>
                </c:pt>
                <c:pt idx="49">
                  <c:v>1.0023013698630137</c:v>
                </c:pt>
                <c:pt idx="50">
                  <c:v>1.0021863013698631</c:v>
                </c:pt>
                <c:pt idx="51">
                  <c:v>1.0020712328767123</c:v>
                </c:pt>
                <c:pt idx="52">
                  <c:v>1.0019561643835617</c:v>
                </c:pt>
                <c:pt idx="53">
                  <c:v>1.0018410958904109</c:v>
                </c:pt>
                <c:pt idx="54">
                  <c:v>1.001495890410959</c:v>
                </c:pt>
                <c:pt idx="55">
                  <c:v>1.0013808219178082</c:v>
                </c:pt>
                <c:pt idx="56">
                  <c:v>1.0012657534246576</c:v>
                </c:pt>
                <c:pt idx="57">
                  <c:v>1.0011506849315068</c:v>
                </c:pt>
                <c:pt idx="58">
                  <c:v>1.0010356164383563</c:v>
                </c:pt>
                <c:pt idx="59">
                  <c:v>1.0006904109589041</c:v>
                </c:pt>
                <c:pt idx="60">
                  <c:v>1.0005753424657535</c:v>
                </c:pt>
                <c:pt idx="61">
                  <c:v>1.0004602739726027</c:v>
                </c:pt>
                <c:pt idx="62">
                  <c:v>1.0003452054794522</c:v>
                </c:pt>
                <c:pt idx="63">
                  <c:v>1.0002301369863014</c:v>
                </c:pt>
                <c:pt idx="64">
                  <c:v>1.0418849315068492</c:v>
                </c:pt>
                <c:pt idx="65">
                  <c:v>1.0417698630136987</c:v>
                </c:pt>
                <c:pt idx="66">
                  <c:v>1.0416547945205479</c:v>
                </c:pt>
                <c:pt idx="67">
                  <c:v>1.0415397260273973</c:v>
                </c:pt>
                <c:pt idx="68">
                  <c:v>1.0414246575342465</c:v>
                </c:pt>
                <c:pt idx="69">
                  <c:v>1.0410794520547946</c:v>
                </c:pt>
                <c:pt idx="70">
                  <c:v>1.0409643835616438</c:v>
                </c:pt>
                <c:pt idx="71">
                  <c:v>1.0408493150684932</c:v>
                </c:pt>
                <c:pt idx="72">
                  <c:v>1.0407342465753424</c:v>
                </c:pt>
                <c:pt idx="73">
                  <c:v>1.0406191780821918</c:v>
                </c:pt>
                <c:pt idx="74">
                  <c:v>1.0402739726027397</c:v>
                </c:pt>
                <c:pt idx="75">
                  <c:v>1.0401589041095891</c:v>
                </c:pt>
                <c:pt idx="76">
                  <c:v>1.0400438356164383</c:v>
                </c:pt>
                <c:pt idx="77">
                  <c:v>1.0399287671232877</c:v>
                </c:pt>
                <c:pt idx="78">
                  <c:v>1.039813698630137</c:v>
                </c:pt>
                <c:pt idx="79">
                  <c:v>1.039468493150685</c:v>
                </c:pt>
                <c:pt idx="80">
                  <c:v>1.0393534246575342</c:v>
                </c:pt>
                <c:pt idx="81">
                  <c:v>1.0392383561643836</c:v>
                </c:pt>
                <c:pt idx="82">
                  <c:v>1.0391232876712329</c:v>
                </c:pt>
                <c:pt idx="83">
                  <c:v>1.0390082191780823</c:v>
                </c:pt>
                <c:pt idx="84">
                  <c:v>1.0386630136986301</c:v>
                </c:pt>
                <c:pt idx="85">
                  <c:v>1.0385479452054796</c:v>
                </c:pt>
                <c:pt idx="86">
                  <c:v>1.0384328767123288</c:v>
                </c:pt>
                <c:pt idx="87">
                  <c:v>1.0383178082191782</c:v>
                </c:pt>
                <c:pt idx="88">
                  <c:v>1.0382027397260274</c:v>
                </c:pt>
                <c:pt idx="89">
                  <c:v>1.0378575342465755</c:v>
                </c:pt>
                <c:pt idx="90">
                  <c:v>1.0377424657534247</c:v>
                </c:pt>
                <c:pt idx="91">
                  <c:v>1.0376273972602741</c:v>
                </c:pt>
                <c:pt idx="92">
                  <c:v>1.0375123287671233</c:v>
                </c:pt>
                <c:pt idx="93">
                  <c:v>1.0373972602739725</c:v>
                </c:pt>
                <c:pt idx="94">
                  <c:v>1.0370520547945206</c:v>
                </c:pt>
                <c:pt idx="95">
                  <c:v>1.0369369863013698</c:v>
                </c:pt>
                <c:pt idx="96">
                  <c:v>1.0368219178082192</c:v>
                </c:pt>
                <c:pt idx="97">
                  <c:v>1.0367068493150684</c:v>
                </c:pt>
                <c:pt idx="98">
                  <c:v>1.0365917808219178</c:v>
                </c:pt>
                <c:pt idx="99">
                  <c:v>1.0362465753424657</c:v>
                </c:pt>
                <c:pt idx="100">
                  <c:v>1.0361315068493151</c:v>
                </c:pt>
                <c:pt idx="101">
                  <c:v>1.0360164383561643</c:v>
                </c:pt>
                <c:pt idx="102">
                  <c:v>1.0359013698630137</c:v>
                </c:pt>
                <c:pt idx="103">
                  <c:v>1.0357863013698629</c:v>
                </c:pt>
                <c:pt idx="104">
                  <c:v>1.035441095890411</c:v>
                </c:pt>
                <c:pt idx="105">
                  <c:v>1.0353260273972602</c:v>
                </c:pt>
                <c:pt idx="106">
                  <c:v>1.0352109589041096</c:v>
                </c:pt>
                <c:pt idx="107">
                  <c:v>1.0350958904109588</c:v>
                </c:pt>
                <c:pt idx="108">
                  <c:v>1.0349808219178083</c:v>
                </c:pt>
                <c:pt idx="109">
                  <c:v>1.0346356164383561</c:v>
                </c:pt>
                <c:pt idx="110">
                  <c:v>1.0345205479452055</c:v>
                </c:pt>
                <c:pt idx="111">
                  <c:v>1.0344054794520547</c:v>
                </c:pt>
                <c:pt idx="112">
                  <c:v>1.0342904109589042</c:v>
                </c:pt>
                <c:pt idx="113">
                  <c:v>1.0341753424657534</c:v>
                </c:pt>
                <c:pt idx="114">
                  <c:v>1.0338301369863014</c:v>
                </c:pt>
                <c:pt idx="115">
                  <c:v>1.0337150684931506</c:v>
                </c:pt>
                <c:pt idx="116">
                  <c:v>1.0336000000000001</c:v>
                </c:pt>
                <c:pt idx="117">
                  <c:v>1.0334849315068493</c:v>
                </c:pt>
                <c:pt idx="118">
                  <c:v>1.0333698630136987</c:v>
                </c:pt>
                <c:pt idx="119">
                  <c:v>1.0330246575342465</c:v>
                </c:pt>
                <c:pt idx="120">
                  <c:v>1.032909589041096</c:v>
                </c:pt>
                <c:pt idx="121">
                  <c:v>1.0327945205479452</c:v>
                </c:pt>
                <c:pt idx="122">
                  <c:v>1.0326794520547946</c:v>
                </c:pt>
                <c:pt idx="123">
                  <c:v>1.0325643835616438</c:v>
                </c:pt>
                <c:pt idx="124">
                  <c:v>1.0322191780821919</c:v>
                </c:pt>
                <c:pt idx="125">
                  <c:v>1.0321041095890411</c:v>
                </c:pt>
                <c:pt idx="126">
                  <c:v>1.0319890410958905</c:v>
                </c:pt>
                <c:pt idx="127">
                  <c:v>1.0318739726027397</c:v>
                </c:pt>
                <c:pt idx="128">
                  <c:v>1.0317589041095891</c:v>
                </c:pt>
                <c:pt idx="129">
                  <c:v>1.031413698630137</c:v>
                </c:pt>
                <c:pt idx="130">
                  <c:v>1.0312986301369862</c:v>
                </c:pt>
                <c:pt idx="131">
                  <c:v>1.0311835616438356</c:v>
                </c:pt>
                <c:pt idx="132">
                  <c:v>1.0310684931506848</c:v>
                </c:pt>
                <c:pt idx="133">
                  <c:v>1.0309534246575343</c:v>
                </c:pt>
                <c:pt idx="134">
                  <c:v>1.0306082191780821</c:v>
                </c:pt>
                <c:pt idx="135">
                  <c:v>1.0304931506849315</c:v>
                </c:pt>
                <c:pt idx="136">
                  <c:v>1.0303780821917807</c:v>
                </c:pt>
                <c:pt idx="137">
                  <c:v>1.0302630136986302</c:v>
                </c:pt>
                <c:pt idx="138">
                  <c:v>1.0301479452054794</c:v>
                </c:pt>
                <c:pt idx="139">
                  <c:v>1.0298027397260274</c:v>
                </c:pt>
                <c:pt idx="140">
                  <c:v>1.0296876712328766</c:v>
                </c:pt>
                <c:pt idx="141">
                  <c:v>1.0295726027397261</c:v>
                </c:pt>
                <c:pt idx="142">
                  <c:v>1.0294575342465753</c:v>
                </c:pt>
                <c:pt idx="143">
                  <c:v>1.0293424657534247</c:v>
                </c:pt>
                <c:pt idx="144">
                  <c:v>1.0289972602739725</c:v>
                </c:pt>
                <c:pt idx="145">
                  <c:v>1.028882191780822</c:v>
                </c:pt>
                <c:pt idx="146">
                  <c:v>1.0287671232876712</c:v>
                </c:pt>
                <c:pt idx="147">
                  <c:v>1.0286520547945206</c:v>
                </c:pt>
                <c:pt idx="148">
                  <c:v>1.0285369863013698</c:v>
                </c:pt>
                <c:pt idx="149">
                  <c:v>1.0281917808219179</c:v>
                </c:pt>
                <c:pt idx="150">
                  <c:v>1.0280767123287671</c:v>
                </c:pt>
                <c:pt idx="151">
                  <c:v>1.0279616438356165</c:v>
                </c:pt>
                <c:pt idx="152">
                  <c:v>1.0278465753424657</c:v>
                </c:pt>
                <c:pt idx="153">
                  <c:v>1.0277315068493151</c:v>
                </c:pt>
                <c:pt idx="154">
                  <c:v>1.027386301369863</c:v>
                </c:pt>
                <c:pt idx="155">
                  <c:v>1.0272712328767124</c:v>
                </c:pt>
                <c:pt idx="156">
                  <c:v>1.0271561643835616</c:v>
                </c:pt>
                <c:pt idx="157">
                  <c:v>1.027041095890411</c:v>
                </c:pt>
                <c:pt idx="158">
                  <c:v>1.0269260273972602</c:v>
                </c:pt>
                <c:pt idx="159">
                  <c:v>1.0265808219178083</c:v>
                </c:pt>
                <c:pt idx="160">
                  <c:v>1.0264657534246575</c:v>
                </c:pt>
                <c:pt idx="161">
                  <c:v>1.0263506849315069</c:v>
                </c:pt>
                <c:pt idx="162">
                  <c:v>1.0262356164383561</c:v>
                </c:pt>
                <c:pt idx="163">
                  <c:v>1.0261205479452056</c:v>
                </c:pt>
                <c:pt idx="164">
                  <c:v>1.0257753424657534</c:v>
                </c:pt>
                <c:pt idx="165">
                  <c:v>1.0256602739726028</c:v>
                </c:pt>
                <c:pt idx="166">
                  <c:v>1.025545205479452</c:v>
                </c:pt>
                <c:pt idx="167">
                  <c:v>1.0254301369863015</c:v>
                </c:pt>
                <c:pt idx="168">
                  <c:v>1.0253150684931507</c:v>
                </c:pt>
                <c:pt idx="169">
                  <c:v>1.0249698630136985</c:v>
                </c:pt>
                <c:pt idx="170">
                  <c:v>1.024854794520548</c:v>
                </c:pt>
                <c:pt idx="171">
                  <c:v>1.0247397260273972</c:v>
                </c:pt>
                <c:pt idx="172">
                  <c:v>1.0246246575342466</c:v>
                </c:pt>
                <c:pt idx="173">
                  <c:v>1.0245095890410958</c:v>
                </c:pt>
                <c:pt idx="174">
                  <c:v>1.0241643835616439</c:v>
                </c:pt>
                <c:pt idx="175">
                  <c:v>1.0240493150684931</c:v>
                </c:pt>
                <c:pt idx="176">
                  <c:v>1.0239342465753425</c:v>
                </c:pt>
                <c:pt idx="177">
                  <c:v>1.0238191780821917</c:v>
                </c:pt>
                <c:pt idx="178">
                  <c:v>1.0237041095890411</c:v>
                </c:pt>
                <c:pt idx="179">
                  <c:v>1.023358904109589</c:v>
                </c:pt>
                <c:pt idx="180">
                  <c:v>1.0232438356164384</c:v>
                </c:pt>
                <c:pt idx="181">
                  <c:v>1.0231287671232876</c:v>
                </c:pt>
                <c:pt idx="182">
                  <c:v>1.023013698630137</c:v>
                </c:pt>
                <c:pt idx="183">
                  <c:v>1.0228986301369862</c:v>
                </c:pt>
                <c:pt idx="184">
                  <c:v>1.0225534246575343</c:v>
                </c:pt>
                <c:pt idx="185">
                  <c:v>1.0224383561643835</c:v>
                </c:pt>
                <c:pt idx="186">
                  <c:v>1.0223232876712329</c:v>
                </c:pt>
                <c:pt idx="187">
                  <c:v>1.0222082191780821</c:v>
                </c:pt>
                <c:pt idx="188">
                  <c:v>1.0220931506849316</c:v>
                </c:pt>
                <c:pt idx="189">
                  <c:v>1.0217479452054794</c:v>
                </c:pt>
                <c:pt idx="190">
                  <c:v>1.0216328767123288</c:v>
                </c:pt>
                <c:pt idx="191">
                  <c:v>1.021517808219178</c:v>
                </c:pt>
                <c:pt idx="192">
                  <c:v>1.0214027397260275</c:v>
                </c:pt>
                <c:pt idx="193">
                  <c:v>1.0212876712328767</c:v>
                </c:pt>
                <c:pt idx="194">
                  <c:v>1.0209424657534247</c:v>
                </c:pt>
                <c:pt idx="195">
                  <c:v>1.0208273972602739</c:v>
                </c:pt>
                <c:pt idx="196">
                  <c:v>1.0207123287671234</c:v>
                </c:pt>
                <c:pt idx="197">
                  <c:v>1.0205972602739726</c:v>
                </c:pt>
                <c:pt idx="198">
                  <c:v>1.020482191780822</c:v>
                </c:pt>
                <c:pt idx="199">
                  <c:v>1.0201369863013698</c:v>
                </c:pt>
                <c:pt idx="200">
                  <c:v>1.0200219178082193</c:v>
                </c:pt>
                <c:pt idx="201">
                  <c:v>1.0199068493150685</c:v>
                </c:pt>
                <c:pt idx="202">
                  <c:v>1.0197917808219179</c:v>
                </c:pt>
                <c:pt idx="203">
                  <c:v>1.0196767123287671</c:v>
                </c:pt>
                <c:pt idx="204">
                  <c:v>1.0193315068493152</c:v>
                </c:pt>
                <c:pt idx="205">
                  <c:v>1.0192164383561644</c:v>
                </c:pt>
                <c:pt idx="206">
                  <c:v>1.0191013698630138</c:v>
                </c:pt>
                <c:pt idx="207">
                  <c:v>1.018986301369863</c:v>
                </c:pt>
                <c:pt idx="208">
                  <c:v>1.0188712328767124</c:v>
                </c:pt>
                <c:pt idx="209">
                  <c:v>1.0185260273972603</c:v>
                </c:pt>
                <c:pt idx="210">
                  <c:v>1.0184109589041095</c:v>
                </c:pt>
                <c:pt idx="211">
                  <c:v>1.0182958904109589</c:v>
                </c:pt>
                <c:pt idx="212">
                  <c:v>1.0181808219178081</c:v>
                </c:pt>
                <c:pt idx="213">
                  <c:v>1.0180657534246575</c:v>
                </c:pt>
                <c:pt idx="214">
                  <c:v>1.0177205479452054</c:v>
                </c:pt>
                <c:pt idx="215">
                  <c:v>1.0176054794520548</c:v>
                </c:pt>
                <c:pt idx="216">
                  <c:v>1.017490410958904</c:v>
                </c:pt>
                <c:pt idx="217">
                  <c:v>1.0173753424657535</c:v>
                </c:pt>
                <c:pt idx="218">
                  <c:v>1.0172602739726027</c:v>
                </c:pt>
                <c:pt idx="219">
                  <c:v>1.0169150684931507</c:v>
                </c:pt>
                <c:pt idx="220">
                  <c:v>1.0167999999999999</c:v>
                </c:pt>
                <c:pt idx="221">
                  <c:v>1.0166849315068494</c:v>
                </c:pt>
                <c:pt idx="222">
                  <c:v>1.0165698630136986</c:v>
                </c:pt>
                <c:pt idx="223">
                  <c:v>1.016454794520548</c:v>
                </c:pt>
                <c:pt idx="224">
                  <c:v>1.0161095890410958</c:v>
                </c:pt>
                <c:pt idx="225">
                  <c:v>1.0159945205479453</c:v>
                </c:pt>
                <c:pt idx="226">
                  <c:v>1.0158794520547945</c:v>
                </c:pt>
                <c:pt idx="227">
                  <c:v>1.0157643835616439</c:v>
                </c:pt>
                <c:pt idx="228">
                  <c:v>1.0156493150684931</c:v>
                </c:pt>
                <c:pt idx="229">
                  <c:v>1.0153041095890412</c:v>
                </c:pt>
                <c:pt idx="230">
                  <c:v>1.0151890410958904</c:v>
                </c:pt>
                <c:pt idx="231">
                  <c:v>1.0150739726027398</c:v>
                </c:pt>
                <c:pt idx="232">
                  <c:v>1.014958904109589</c:v>
                </c:pt>
                <c:pt idx="233">
                  <c:v>1.0148438356164384</c:v>
                </c:pt>
                <c:pt idx="234">
                  <c:v>1.0144986301369863</c:v>
                </c:pt>
                <c:pt idx="235">
                  <c:v>1.0143835616438357</c:v>
                </c:pt>
                <c:pt idx="236">
                  <c:v>1.0142684931506849</c:v>
                </c:pt>
                <c:pt idx="237">
                  <c:v>1.0141534246575343</c:v>
                </c:pt>
                <c:pt idx="238">
                  <c:v>1.0140383561643835</c:v>
                </c:pt>
                <c:pt idx="239">
                  <c:v>1.0136931506849316</c:v>
                </c:pt>
                <c:pt idx="240">
                  <c:v>1.0135780821917808</c:v>
                </c:pt>
                <c:pt idx="241">
                  <c:v>1.0134630136986302</c:v>
                </c:pt>
                <c:pt idx="242">
                  <c:v>1.0133479452054794</c:v>
                </c:pt>
                <c:pt idx="243">
                  <c:v>1.0132328767123289</c:v>
                </c:pt>
                <c:pt idx="244">
                  <c:v>1.0128876712328767</c:v>
                </c:pt>
                <c:pt idx="245">
                  <c:v>1.0127726027397261</c:v>
                </c:pt>
                <c:pt idx="246">
                  <c:v>1.0126575342465753</c:v>
                </c:pt>
                <c:pt idx="247">
                  <c:v>1.0125424657534245</c:v>
                </c:pt>
                <c:pt idx="248">
                  <c:v>1.012427397260274</c:v>
                </c:pt>
                <c:pt idx="249">
                  <c:v>1.0120821917808218</c:v>
                </c:pt>
                <c:pt idx="250">
                  <c:v>1.0119671232876712</c:v>
                </c:pt>
                <c:pt idx="251">
                  <c:v>1.0118520547945205</c:v>
                </c:pt>
                <c:pt idx="252">
                  <c:v>1.0117369863013699</c:v>
                </c:pt>
                <c:pt idx="253">
                  <c:v>1.0116219178082191</c:v>
                </c:pt>
                <c:pt idx="254">
                  <c:v>1.0112767123287671</c:v>
                </c:pt>
                <c:pt idx="255">
                  <c:v>1.0111616438356164</c:v>
                </c:pt>
                <c:pt idx="256">
                  <c:v>1.0110465753424658</c:v>
                </c:pt>
                <c:pt idx="257">
                  <c:v>1.010931506849315</c:v>
                </c:pt>
                <c:pt idx="258">
                  <c:v>1.0108164383561644</c:v>
                </c:pt>
                <c:pt idx="259">
                  <c:v>1.0104712328767123</c:v>
                </c:pt>
                <c:pt idx="260">
                  <c:v>1.0103561643835617</c:v>
                </c:pt>
                <c:pt idx="261">
                  <c:v>1.0102410958904109</c:v>
                </c:pt>
                <c:pt idx="262">
                  <c:v>1.0101260273972603</c:v>
                </c:pt>
                <c:pt idx="263">
                  <c:v>1.0100109589041095</c:v>
                </c:pt>
                <c:pt idx="264">
                  <c:v>1.0096657534246576</c:v>
                </c:pt>
                <c:pt idx="265">
                  <c:v>1.0095506849315068</c:v>
                </c:pt>
                <c:pt idx="266">
                  <c:v>1.0094356164383562</c:v>
                </c:pt>
                <c:pt idx="267">
                  <c:v>1.0093205479452054</c:v>
                </c:pt>
                <c:pt idx="268">
                  <c:v>1.0092054794520549</c:v>
                </c:pt>
                <c:pt idx="269">
                  <c:v>1.0088602739726027</c:v>
                </c:pt>
                <c:pt idx="270">
                  <c:v>1.0087452054794521</c:v>
                </c:pt>
                <c:pt idx="271">
                  <c:v>1.0086301369863013</c:v>
                </c:pt>
                <c:pt idx="272">
                  <c:v>1.0085150684931508</c:v>
                </c:pt>
                <c:pt idx="273">
                  <c:v>1.0084</c:v>
                </c:pt>
                <c:pt idx="274">
                  <c:v>1.008054794520548</c:v>
                </c:pt>
                <c:pt idx="275">
                  <c:v>1.0079397260273972</c:v>
                </c:pt>
                <c:pt idx="276">
                  <c:v>1.0078246575342467</c:v>
                </c:pt>
                <c:pt idx="277">
                  <c:v>1.0077095890410959</c:v>
                </c:pt>
                <c:pt idx="278">
                  <c:v>1.0075945205479453</c:v>
                </c:pt>
                <c:pt idx="279">
                  <c:v>1.0072493150684931</c:v>
                </c:pt>
                <c:pt idx="280">
                  <c:v>1.0071342465753426</c:v>
                </c:pt>
                <c:pt idx="281">
                  <c:v>1.0070191780821918</c:v>
                </c:pt>
                <c:pt idx="282">
                  <c:v>1.0069041095890412</c:v>
                </c:pt>
                <c:pt idx="283">
                  <c:v>1.0067890410958904</c:v>
                </c:pt>
                <c:pt idx="284">
                  <c:v>1.0064438356164385</c:v>
                </c:pt>
                <c:pt idx="285">
                  <c:v>1.0063287671232877</c:v>
                </c:pt>
                <c:pt idx="286">
                  <c:v>1.0062136986301369</c:v>
                </c:pt>
                <c:pt idx="287">
                  <c:v>1.0060986301369863</c:v>
                </c:pt>
                <c:pt idx="288">
                  <c:v>1.0059835616438355</c:v>
                </c:pt>
                <c:pt idx="289">
                  <c:v>1.0056383561643836</c:v>
                </c:pt>
                <c:pt idx="290">
                  <c:v>1.0055232876712328</c:v>
                </c:pt>
                <c:pt idx="291">
                  <c:v>1.0054082191780822</c:v>
                </c:pt>
                <c:pt idx="292">
                  <c:v>1.0052931506849314</c:v>
                </c:pt>
                <c:pt idx="293">
                  <c:v>1.0051780821917808</c:v>
                </c:pt>
                <c:pt idx="294">
                  <c:v>1.0048328767123287</c:v>
                </c:pt>
                <c:pt idx="295">
                  <c:v>1.0047178082191781</c:v>
                </c:pt>
                <c:pt idx="296">
                  <c:v>1.0046027397260273</c:v>
                </c:pt>
                <c:pt idx="297">
                  <c:v>1.0044876712328767</c:v>
                </c:pt>
                <c:pt idx="298">
                  <c:v>1.004372602739726</c:v>
                </c:pt>
                <c:pt idx="299">
                  <c:v>1.004027397260274</c:v>
                </c:pt>
                <c:pt idx="300">
                  <c:v>1.0039123287671232</c:v>
                </c:pt>
                <c:pt idx="301">
                  <c:v>1.0037972602739726</c:v>
                </c:pt>
                <c:pt idx="302">
                  <c:v>1.0036821917808219</c:v>
                </c:pt>
                <c:pt idx="303">
                  <c:v>1.0035671232876713</c:v>
                </c:pt>
                <c:pt idx="304">
                  <c:v>1.0032219178082191</c:v>
                </c:pt>
                <c:pt idx="305">
                  <c:v>1.0031068493150685</c:v>
                </c:pt>
                <c:pt idx="306">
                  <c:v>1.0029917808219178</c:v>
                </c:pt>
                <c:pt idx="307">
                  <c:v>1.0028767123287672</c:v>
                </c:pt>
                <c:pt idx="308">
                  <c:v>1.0027616438356164</c:v>
                </c:pt>
                <c:pt idx="309">
                  <c:v>1.0024164383561645</c:v>
                </c:pt>
                <c:pt idx="310">
                  <c:v>1.0023013698630137</c:v>
                </c:pt>
                <c:pt idx="311">
                  <c:v>1.0021863013698631</c:v>
                </c:pt>
                <c:pt idx="312">
                  <c:v>1.0020712328767123</c:v>
                </c:pt>
                <c:pt idx="313">
                  <c:v>1.0019561643835617</c:v>
                </c:pt>
                <c:pt idx="314">
                  <c:v>1.0016109589041096</c:v>
                </c:pt>
                <c:pt idx="315">
                  <c:v>1.001495890410959</c:v>
                </c:pt>
                <c:pt idx="316">
                  <c:v>1.0013808219178082</c:v>
                </c:pt>
                <c:pt idx="317">
                  <c:v>1.0012657534246576</c:v>
                </c:pt>
                <c:pt idx="318">
                  <c:v>1.0011506849315068</c:v>
                </c:pt>
                <c:pt idx="319">
                  <c:v>1.0008054794520549</c:v>
                </c:pt>
                <c:pt idx="320">
                  <c:v>1.0006904109589041</c:v>
                </c:pt>
                <c:pt idx="321">
                  <c:v>1.0005753424657535</c:v>
                </c:pt>
                <c:pt idx="322">
                  <c:v>1.0004602739726027</c:v>
                </c:pt>
                <c:pt idx="323">
                  <c:v>1.0003452054794522</c:v>
                </c:pt>
                <c:pt idx="324">
                  <c:v>1</c:v>
                </c:pt>
                <c:pt idx="325">
                  <c:v>1.0418849315068492</c:v>
                </c:pt>
                <c:pt idx="326">
                  <c:v>1.0417698630136987</c:v>
                </c:pt>
                <c:pt idx="327">
                  <c:v>1.0416547945205479</c:v>
                </c:pt>
                <c:pt idx="328">
                  <c:v>1.0415397260273973</c:v>
                </c:pt>
                <c:pt idx="329">
                  <c:v>1.0411945205479451</c:v>
                </c:pt>
                <c:pt idx="330">
                  <c:v>1.0410794520547946</c:v>
                </c:pt>
                <c:pt idx="331">
                  <c:v>1.0409643835616438</c:v>
                </c:pt>
                <c:pt idx="332">
                  <c:v>1.0408493150684932</c:v>
                </c:pt>
                <c:pt idx="333">
                  <c:v>1.0407342465753424</c:v>
                </c:pt>
                <c:pt idx="334">
                  <c:v>1.0403890410958905</c:v>
                </c:pt>
                <c:pt idx="335">
                  <c:v>1.0402739726027397</c:v>
                </c:pt>
                <c:pt idx="336">
                  <c:v>1.0401589041095891</c:v>
                </c:pt>
                <c:pt idx="337">
                  <c:v>1.0400438356164383</c:v>
                </c:pt>
                <c:pt idx="338">
                  <c:v>1.0399287671232877</c:v>
                </c:pt>
                <c:pt idx="339">
                  <c:v>1.0395835616438356</c:v>
                </c:pt>
                <c:pt idx="340">
                  <c:v>1.039468493150685</c:v>
                </c:pt>
                <c:pt idx="341">
                  <c:v>1.0393534246575342</c:v>
                </c:pt>
                <c:pt idx="342">
                  <c:v>1.0392383561643836</c:v>
                </c:pt>
                <c:pt idx="343">
                  <c:v>1.0391232876712329</c:v>
                </c:pt>
                <c:pt idx="344">
                  <c:v>1.0387780821917809</c:v>
                </c:pt>
                <c:pt idx="345">
                  <c:v>1.0386630136986301</c:v>
                </c:pt>
                <c:pt idx="346">
                  <c:v>1.0385479452054796</c:v>
                </c:pt>
                <c:pt idx="347">
                  <c:v>1.0384328767123288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20-2143-A1D7-54618581F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36268360"/>
        <c:axId val="-2138853000"/>
      </c:lineChart>
      <c:dateAx>
        <c:axId val="-2136268360"/>
        <c:scaling>
          <c:orientation val="minMax"/>
        </c:scaling>
        <c:delete val="0"/>
        <c:axPos val="b"/>
        <c:numFmt formatCode="dd\-mmm\-yyyy\ ddd" sourceLinked="0"/>
        <c:majorTickMark val="out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138853000"/>
        <c:crosses val="autoZero"/>
        <c:auto val="1"/>
        <c:lblOffset val="100"/>
        <c:baseTimeUnit val="days"/>
      </c:dateAx>
      <c:valAx>
        <c:axId val="-2138853000"/>
        <c:scaling>
          <c:orientation val="minMax"/>
          <c:min val="0.99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136268360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33387603829651602"/>
          <c:y val="0.92509196320617304"/>
          <c:w val="0.41517839566929099"/>
          <c:h val="5.970149253731309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Duración y TIR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817413621523501"/>
          <c:y val="0.15183127201949301"/>
          <c:w val="0.82300103008188297"/>
          <c:h val="0.55357825450667197"/>
        </c:manualLayout>
      </c:layout>
      <c:lineChart>
        <c:grouping val="standard"/>
        <c:varyColors val="0"/>
        <c:ser>
          <c:idx val="0"/>
          <c:order val="0"/>
          <c:tx>
            <c:strRef>
              <c:f>'Precio bono'!$O$4</c:f>
              <c:strCache>
                <c:ptCount val="1"/>
                <c:pt idx="0">
                  <c:v>Bono 3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chemeClr val="accent5">
                        <a:lumMod val="75000"/>
                      </a:schemeClr>
                    </a:solidFill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'Precio bono'!$P$3:$Z$3</c:f>
              <c:numCache>
                <c:formatCode>0.00%</c:formatCode>
                <c:ptCount val="11"/>
                <c:pt idx="0">
                  <c:v>1E-4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</c:numCache>
            </c:numRef>
          </c:cat>
          <c:val>
            <c:numRef>
              <c:f>'Precio bono'!$P$4:$Z$4</c:f>
              <c:numCache>
                <c:formatCode>_-* #,##0.000_€_-;\-* #,##0.000_€_-;_-* "-"??_€_-;_-@_-</c:formatCode>
                <c:ptCount val="11"/>
                <c:pt idx="0">
                  <c:v>2.8474345297203425</c:v>
                </c:pt>
                <c:pt idx="1">
                  <c:v>2.8451420960800671</c:v>
                </c:pt>
                <c:pt idx="2">
                  <c:v>2.8428149479902403</c:v>
                </c:pt>
                <c:pt idx="3">
                  <c:v>2.8404763069676258</c:v>
                </c:pt>
                <c:pt idx="4">
                  <c:v>2.8381262970649277</c:v>
                </c:pt>
                <c:pt idx="5">
                  <c:v>2.8357650422570742</c:v>
                </c:pt>
                <c:pt idx="6">
                  <c:v>2.8333926664293339</c:v>
                </c:pt>
                <c:pt idx="7">
                  <c:v>2.831009293365546</c:v>
                </c:pt>
                <c:pt idx="8">
                  <c:v>2.8286150467364815</c:v>
                </c:pt>
                <c:pt idx="9">
                  <c:v>2.8262100500883274</c:v>
                </c:pt>
                <c:pt idx="10">
                  <c:v>2.8237944268313031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59-5F4C-8937-D745FFBA2C2B}"/>
            </c:ext>
          </c:extLst>
        </c:ser>
        <c:ser>
          <c:idx val="1"/>
          <c:order val="1"/>
          <c:tx>
            <c:strRef>
              <c:f>'Precio bono'!$O$5</c:f>
              <c:strCache>
                <c:ptCount val="1"/>
                <c:pt idx="0">
                  <c:v>Bono 5</c:v>
                </c:pt>
              </c:strCache>
            </c:strRef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chemeClr val="tx1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'Precio bono'!$P$3:$Z$3</c:f>
              <c:numCache>
                <c:formatCode>0.00%</c:formatCode>
                <c:ptCount val="11"/>
                <c:pt idx="0">
                  <c:v>1E-4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</c:numCache>
            </c:numRef>
          </c:cat>
          <c:val>
            <c:numRef>
              <c:f>'Precio bono'!$P$5:$Z$5</c:f>
              <c:numCache>
                <c:formatCode>_-* #,##0.000_€_-;\-* #,##0.000_€_-;_-* "-"??_€_-;_-@_-</c:formatCode>
                <c:ptCount val="11"/>
                <c:pt idx="0">
                  <c:v>4.5383443700820978</c:v>
                </c:pt>
                <c:pt idx="1">
                  <c:v>4.5266595714485813</c:v>
                </c:pt>
                <c:pt idx="2">
                  <c:v>4.5146863462566147</c:v>
                </c:pt>
                <c:pt idx="3">
                  <c:v>4.5025430242373483</c:v>
                </c:pt>
                <c:pt idx="4">
                  <c:v>4.4902308684547938</c:v>
                </c:pt>
                <c:pt idx="5">
                  <c:v>4.4777512430879982</c:v>
                </c:pt>
                <c:pt idx="6">
                  <c:v>4.4651056126996558</c:v>
                </c:pt>
                <c:pt idx="7">
                  <c:v>4.4522955413712397</c:v>
                </c:pt>
                <c:pt idx="8">
                  <c:v>4.4393226917054589</c:v>
                </c:pt>
                <c:pt idx="9">
                  <c:v>4.4261888236973146</c:v>
                </c:pt>
                <c:pt idx="10">
                  <c:v>4.4128957934752533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59-5F4C-8937-D745FFBA2C2B}"/>
            </c:ext>
          </c:extLst>
        </c:ser>
        <c:ser>
          <c:idx val="2"/>
          <c:order val="2"/>
          <c:tx>
            <c:strRef>
              <c:f>'Precio bono'!$O$6</c:f>
              <c:strCache>
                <c:ptCount val="1"/>
                <c:pt idx="0">
                  <c:v>Bono 10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FF0000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'Precio bono'!$P$3:$Z$3</c:f>
              <c:numCache>
                <c:formatCode>0.00%</c:formatCode>
                <c:ptCount val="11"/>
                <c:pt idx="0">
                  <c:v>1E-4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</c:numCache>
            </c:numRef>
          </c:cat>
          <c:val>
            <c:numRef>
              <c:f>'Precio bono'!$P$6:$Z$6</c:f>
              <c:numCache>
                <c:formatCode>_-* #,##0.000_€_-;\-* #,##0.000_€_-;_-* "-"??_€_-;_-@_-</c:formatCode>
                <c:ptCount val="11"/>
                <c:pt idx="0">
                  <c:v>8.3117158976169261</c:v>
                </c:pt>
                <c:pt idx="1">
                  <c:v>8.2329288876674784</c:v>
                </c:pt>
                <c:pt idx="2">
                  <c:v>8.1510456896987868</c:v>
                </c:pt>
                <c:pt idx="3">
                  <c:v>8.0669078802638712</c:v>
                </c:pt>
                <c:pt idx="4">
                  <c:v>7.9805830277357632</c:v>
                </c:pt>
                <c:pt idx="5">
                  <c:v>7.8921487007985753</c:v>
                </c:pt>
                <c:pt idx="6">
                  <c:v>7.8016922744995778</c:v>
                </c:pt>
                <c:pt idx="7">
                  <c:v>7.7093106349977845</c:v>
                </c:pt>
                <c:pt idx="8">
                  <c:v>7.615109783543299</c:v>
                </c:pt>
                <c:pt idx="9">
                  <c:v>7.51920434206842</c:v>
                </c:pt>
                <c:pt idx="10">
                  <c:v>7.4217169646324583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59-5F4C-8937-D745FFBA2C2B}"/>
            </c:ext>
          </c:extLst>
        </c:ser>
        <c:ser>
          <c:idx val="3"/>
          <c:order val="3"/>
          <c:tx>
            <c:strRef>
              <c:f>'Precio bono'!$O$7</c:f>
              <c:strCache>
                <c:ptCount val="1"/>
                <c:pt idx="0">
                  <c:v>Bono 30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0000FF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'Precio bono'!$P$3:$Z$3</c:f>
              <c:numCache>
                <c:formatCode>0.00%</c:formatCode>
                <c:ptCount val="11"/>
                <c:pt idx="0">
                  <c:v>1E-4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</c:numCache>
            </c:numRef>
          </c:cat>
          <c:val>
            <c:numRef>
              <c:f>'Precio bono'!$P$7:$Z$7</c:f>
              <c:numCache>
                <c:formatCode>_-* #,##0.000_€_-;\-* #,##0.000_€_-;_-* "-"??_€_-;_-@_-</c:formatCode>
                <c:ptCount val="11"/>
                <c:pt idx="0">
                  <c:v>20.668925931789268</c:v>
                </c:pt>
                <c:pt idx="1">
                  <c:v>19.693748456061126</c:v>
                </c:pt>
                <c:pt idx="2">
                  <c:v>18.6769771260503</c:v>
                </c:pt>
                <c:pt idx="3">
                  <c:v>17.64299294248308</c:v>
                </c:pt>
                <c:pt idx="4">
                  <c:v>16.607309092274505</c:v>
                </c:pt>
                <c:pt idx="5">
                  <c:v>15.585196848897214</c:v>
                </c:pt>
                <c:pt idx="6">
                  <c:v>14.590721020578787</c:v>
                </c:pt>
                <c:pt idx="7">
                  <c:v>13.635956926934956</c:v>
                </c:pt>
                <c:pt idx="8">
                  <c:v>12.730472535193673</c:v>
                </c:pt>
                <c:pt idx="9">
                  <c:v>11.881103802779007</c:v>
                </c:pt>
                <c:pt idx="10">
                  <c:v>11.091999355522194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59-5F4C-8937-D745FFBA2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37130488"/>
        <c:axId val="-2137097960"/>
      </c:lineChart>
      <c:catAx>
        <c:axId val="-2137130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TIR</a:t>
                </a:r>
              </a:p>
            </c:rich>
          </c:tx>
          <c:overlay val="0"/>
        </c:title>
        <c:numFmt formatCode="0.00%" sourceLinked="1"/>
        <c:majorTickMark val="out"/>
        <c:minorTickMark val="none"/>
        <c:tickLblPos val="low"/>
        <c:spPr>
          <a:effectLst/>
        </c:spPr>
        <c:txPr>
          <a:bodyPr rot="-5400000" vert="horz"/>
          <a:lstStyle/>
          <a:p>
            <a:pPr>
              <a:defRPr/>
            </a:pPr>
            <a:endParaRPr lang="en-US"/>
          </a:p>
        </c:txPr>
        <c:crossAx val="-2137097960"/>
        <c:crosses val="autoZero"/>
        <c:auto val="1"/>
        <c:lblAlgn val="ctr"/>
        <c:lblOffset val="100"/>
        <c:noMultiLvlLbl val="0"/>
      </c:catAx>
      <c:valAx>
        <c:axId val="-2137097960"/>
        <c:scaling>
          <c:orientation val="minMax"/>
          <c:max val="22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s-ES"/>
                  <a:t>Duración</a:t>
                </a:r>
              </a:p>
            </c:rich>
          </c:tx>
          <c:overlay val="0"/>
        </c:title>
        <c:numFmt formatCode="_-* #,##0.000_€_-;\-* #,##0.000_€_-;_-* &quot;-&quot;??_€_-;_-@_-" sourceLinked="1"/>
        <c:majorTickMark val="out"/>
        <c:minorTickMark val="none"/>
        <c:tickLblPos val="nextTo"/>
        <c:crossAx val="-2137130488"/>
        <c:crosses val="autoZero"/>
        <c:crossBetween val="between"/>
        <c:majorUnit val="2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1" l="0.75" r="0.75" t="1" header="0.5" footer="0.5"/>
    <c:pageSetup/>
  </c:printSettings>
</c:chartSpace>
</file>

<file path=xl/ctrlProps/ctrlProp1.xml><?xml version="1.0" encoding="utf-8"?>
<formControlPr xmlns="http://schemas.microsoft.com/office/spreadsheetml/2009/9/main" objectType="Drop" dropLines="71" dropStyle="combo" dx="26" fmlaLink="$B$1" fmlaRange="'Datos Bonos'!$B$2:$B$95" sel="10" val="8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22</xdr:row>
      <xdr:rowOff>0</xdr:rowOff>
    </xdr:from>
    <xdr:to>
      <xdr:col>17</xdr:col>
      <xdr:colOff>423334</xdr:colOff>
      <xdr:row>31</xdr:row>
      <xdr:rowOff>123905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 noChangeArrowheads="1"/>
        </xdr:cNvSpPr>
      </xdr:nvSpPr>
      <xdr:spPr bwMode="auto">
        <a:xfrm>
          <a:off x="9144000" y="4254500"/>
          <a:ext cx="7852834" cy="1876505"/>
        </a:xfrm>
        <a:prstGeom prst="rect">
          <a:avLst/>
        </a:prstGeom>
        <a:noFill/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lvl1pPr marL="273050" indent="-273050" algn="just" rtl="0" eaLnBrk="0" fontAlgn="base" hangingPunct="0">
            <a:spcBef>
              <a:spcPts val="600"/>
            </a:spcBef>
            <a:spcAft>
              <a:spcPts val="600"/>
            </a:spcAft>
            <a:buFont typeface="Wingdings" charset="2"/>
            <a:buChar char="q"/>
            <a:defRPr lang="es-ES" sz="1800" b="0" dirty="0" smtClean="0">
              <a:solidFill>
                <a:srgbClr val="263974"/>
              </a:solidFill>
              <a:latin typeface="+mn-lt"/>
              <a:ea typeface="ＭＳ Ｐゴシック" charset="0"/>
              <a:cs typeface="+mn-cs"/>
            </a:defRPr>
          </a:lvl1pPr>
          <a:lvl2pPr marL="649287" indent="-285750" algn="just" rtl="0" eaLnBrk="0" fontAlgn="base" hangingPunct="0">
            <a:spcBef>
              <a:spcPts val="600"/>
            </a:spcBef>
            <a:spcAft>
              <a:spcPts val="600"/>
            </a:spcAft>
            <a:buFont typeface="Lucida Grande"/>
            <a:buNone/>
            <a:defRPr lang="es-ES" sz="1800" b="0" dirty="0" smtClean="0">
              <a:solidFill>
                <a:srgbClr val="263974"/>
              </a:solidFill>
              <a:latin typeface="+mn-lt"/>
              <a:ea typeface="Arial" charset="0"/>
              <a:cs typeface="+mn-cs"/>
            </a:defRPr>
          </a:lvl2pPr>
          <a:lvl3pPr marL="649287" indent="-285750" algn="just" defTabSz="893763" rtl="0" eaLnBrk="0" fontAlgn="base" hangingPunct="0">
            <a:spcBef>
              <a:spcPts val="600"/>
            </a:spcBef>
            <a:spcAft>
              <a:spcPts val="600"/>
            </a:spcAft>
            <a:buSzPct val="100000"/>
            <a:buFont typeface="Lucida Grande"/>
            <a:buNone/>
            <a:tabLst>
              <a:tab pos="893763" algn="l"/>
              <a:tab pos="1698625" algn="l"/>
            </a:tabLst>
            <a:defRPr lang="es-ES" sz="1800" dirty="0" smtClean="0">
              <a:solidFill>
                <a:srgbClr val="263974"/>
              </a:solidFill>
              <a:latin typeface="+mn-lt"/>
              <a:ea typeface="Arial" charset="0"/>
              <a:cs typeface="+mn-cs"/>
            </a:defRPr>
          </a:lvl3pPr>
          <a:lvl4pPr marL="903288" indent="-285750" algn="just" rtl="0" eaLnBrk="0" fontAlgn="base" hangingPunct="0">
            <a:spcBef>
              <a:spcPts val="600"/>
            </a:spcBef>
            <a:spcAft>
              <a:spcPts val="600"/>
            </a:spcAft>
            <a:buSzPct val="100000"/>
            <a:buFont typeface="Courier New"/>
            <a:buChar char="o"/>
            <a:tabLst>
              <a:tab pos="1698625" algn="l"/>
            </a:tabLst>
            <a:defRPr sz="1800" b="0">
              <a:solidFill>
                <a:srgbClr val="263974"/>
              </a:solidFill>
              <a:latin typeface="+mn-lt"/>
              <a:ea typeface="Arial" charset="0"/>
              <a:cs typeface="+mn-cs"/>
            </a:defRPr>
          </a:lvl4pPr>
          <a:lvl5pPr marL="1358900" indent="-285750" algn="just" rtl="0" eaLnBrk="0" fontAlgn="base" hangingPunct="0">
            <a:spcBef>
              <a:spcPts val="600"/>
            </a:spcBef>
            <a:spcAft>
              <a:spcPts val="600"/>
            </a:spcAft>
            <a:buSzPct val="100000"/>
            <a:buFont typeface="Lucida Grande" charset="0"/>
            <a:buNone/>
            <a:tabLst>
              <a:tab pos="1698625" algn="l"/>
            </a:tabLst>
            <a:defRPr lang="en-GB" sz="1800" dirty="0">
              <a:solidFill>
                <a:srgbClr val="263974"/>
              </a:solidFill>
              <a:latin typeface="+mn-lt"/>
              <a:ea typeface="Arial" charset="0"/>
              <a:cs typeface="+mn-cs"/>
            </a:defRPr>
          </a:lvl5pPr>
          <a:lvl6pPr marL="2711450" indent="-120650" algn="just" rtl="0" eaLnBrk="1" fontAlgn="base" hangingPunct="1">
            <a:spcBef>
              <a:spcPct val="75000"/>
            </a:spcBef>
            <a:spcAft>
              <a:spcPct val="0"/>
            </a:spcAft>
            <a:buSzPct val="75000"/>
            <a:buChar char="•"/>
            <a:defRPr sz="1400">
              <a:solidFill>
                <a:srgbClr val="1D4D81"/>
              </a:solidFill>
              <a:latin typeface="+mn-lt"/>
              <a:cs typeface="+mn-cs"/>
            </a:defRPr>
          </a:lvl6pPr>
          <a:lvl7pPr marL="3168650" indent="-120650" algn="just" rtl="0" eaLnBrk="1" fontAlgn="base" hangingPunct="1">
            <a:spcBef>
              <a:spcPct val="75000"/>
            </a:spcBef>
            <a:spcAft>
              <a:spcPct val="0"/>
            </a:spcAft>
            <a:buSzPct val="75000"/>
            <a:buChar char="•"/>
            <a:defRPr sz="1400">
              <a:solidFill>
                <a:srgbClr val="1D4D81"/>
              </a:solidFill>
              <a:latin typeface="+mn-lt"/>
              <a:cs typeface="+mn-cs"/>
            </a:defRPr>
          </a:lvl7pPr>
          <a:lvl8pPr marL="3625850" indent="-120650" algn="just" rtl="0" eaLnBrk="1" fontAlgn="base" hangingPunct="1">
            <a:spcBef>
              <a:spcPct val="75000"/>
            </a:spcBef>
            <a:spcAft>
              <a:spcPct val="0"/>
            </a:spcAft>
            <a:buSzPct val="75000"/>
            <a:buChar char="•"/>
            <a:defRPr sz="1400">
              <a:solidFill>
                <a:srgbClr val="1D4D81"/>
              </a:solidFill>
              <a:latin typeface="+mn-lt"/>
              <a:cs typeface="+mn-cs"/>
            </a:defRPr>
          </a:lvl8pPr>
          <a:lvl9pPr marL="4083050" indent="-120650" algn="just" rtl="0" eaLnBrk="1" fontAlgn="base" hangingPunct="1">
            <a:spcBef>
              <a:spcPct val="75000"/>
            </a:spcBef>
            <a:spcAft>
              <a:spcPct val="0"/>
            </a:spcAft>
            <a:buSzPct val="75000"/>
            <a:buChar char="•"/>
            <a:defRPr sz="1400">
              <a:solidFill>
                <a:srgbClr val="1D4D81"/>
              </a:solidFill>
              <a:latin typeface="+mn-lt"/>
              <a:cs typeface="+mn-cs"/>
            </a:defRPr>
          </a:lvl9pPr>
        </a:lstStyle>
        <a:p>
          <a:pPr marL="271463" indent="-271463"/>
          <a:r>
            <a:rPr lang="es-ES_tradnl" sz="1200" b="1">
              <a:solidFill>
                <a:srgbClr val="2F5597"/>
              </a:solidFill>
              <a:latin typeface="Arial" charset="0"/>
              <a:cs typeface="Arial" charset="0"/>
            </a:rPr>
            <a:t>Dados los siguientes tipos de interés a 3 y 6 meses, calcular los tipos implícitos 3x6 (Suponga Base Act 360):</a:t>
          </a:r>
        </a:p>
        <a:p>
          <a:pPr marL="400050" lvl="2">
            <a:buFont typeface="Lucida Grande" charset="0"/>
            <a:buChar char="−"/>
            <a:tabLst/>
          </a:pPr>
          <a:r>
            <a:rPr lang="es-ES_tradnl" sz="1200">
              <a:solidFill>
                <a:srgbClr val="2F5597"/>
              </a:solidFill>
              <a:latin typeface="Arial" charset="0"/>
              <a:cs typeface="Arial" charset="0"/>
            </a:rPr>
            <a:t>r3 meses (92 días) = -0,112%; r6 meses (184 días) = -0,075%</a:t>
          </a:r>
        </a:p>
        <a:p>
          <a:pPr marL="400050" lvl="2">
            <a:buFont typeface="Lucida Grande" charset="0"/>
            <a:buChar char="−"/>
            <a:tabLst/>
          </a:pPr>
          <a:r>
            <a:rPr lang="es-ES_tradnl" sz="1200">
              <a:solidFill>
                <a:srgbClr val="2F5597"/>
              </a:solidFill>
              <a:latin typeface="Arial" charset="0"/>
              <a:cs typeface="Arial" charset="0"/>
            </a:rPr>
            <a:t>r3 meses (90 días) = -0,100%; </a:t>
          </a:r>
          <a:r>
            <a:rPr lang="es-ES_tradnl" sz="1200" baseline="0">
              <a:solidFill>
                <a:srgbClr val="2F5597"/>
              </a:solidFill>
              <a:latin typeface="Arial" charset="0"/>
              <a:cs typeface="Arial" charset="0"/>
            </a:rPr>
            <a:t> </a:t>
          </a:r>
          <a:r>
            <a:rPr lang="es-ES_tradnl" sz="1200">
              <a:solidFill>
                <a:srgbClr val="2F5597"/>
              </a:solidFill>
              <a:latin typeface="Arial" charset="0"/>
              <a:cs typeface="Arial" charset="0"/>
            </a:rPr>
            <a:t>r6 meses (180 Días) = -0,080%</a:t>
          </a:r>
        </a:p>
        <a:p>
          <a:pPr marL="400050" lvl="2">
            <a:buFont typeface="Lucida Grande" charset="0"/>
            <a:buChar char="−"/>
            <a:tabLst/>
          </a:pPr>
          <a:r>
            <a:rPr lang="es-ES_tradnl" sz="1200">
              <a:solidFill>
                <a:srgbClr val="2F5597"/>
              </a:solidFill>
              <a:latin typeface="Arial" charset="0"/>
              <a:cs typeface="Arial" charset="0"/>
            </a:rPr>
            <a:t>r3 meses (91 días) = -0,110%; r6 meses (182 Días) =-0,078%;</a:t>
          </a:r>
        </a:p>
      </xdr:txBody>
    </xdr:sp>
    <xdr:clientData/>
  </xdr:twoCellAnchor>
  <xdr:twoCellAnchor>
    <xdr:from>
      <xdr:col>8</xdr:col>
      <xdr:colOff>101600</xdr:colOff>
      <xdr:row>32</xdr:row>
      <xdr:rowOff>177800</xdr:rowOff>
    </xdr:from>
    <xdr:to>
      <xdr:col>15</xdr:col>
      <xdr:colOff>249767</xdr:colOff>
      <xdr:row>43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Grp="1" noChangeArrowheads="1"/>
        </xdr:cNvSpPr>
      </xdr:nvSpPr>
      <xdr:spPr bwMode="auto">
        <a:xfrm>
          <a:off x="9245600" y="6362700"/>
          <a:ext cx="5926667" cy="187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  <a:ext uri="{FAA26D3D-D897-4be2-8F04-BA451C77F1D7}">
            <ma14:placeholderFlag xmlns:ma14="http://schemas.microsoft.com/office/mac/drawingml/2011/main" xmlns="" val="1"/>
          </a:ext>
        </a:extLst>
      </xdr:spPr>
      <xdr:txBody>
        <a:bodyPr vert="horz" wrap="square" lIns="0" tIns="0" rIns="0" bIns="0" numCol="1" anchor="t" anchorCtr="0" compatLnSpc="1">
          <a:prstTxWarp prst="textNoShape">
            <a:avLst/>
          </a:prstTxWarp>
        </a:bodyPr>
        <a:lstStyle>
          <a:lvl1pPr marL="285750" indent="-285750" algn="just" rtl="0" eaLnBrk="1" fontAlgn="base" hangingPunct="1">
            <a:spcBef>
              <a:spcPts val="600"/>
            </a:spcBef>
            <a:spcAft>
              <a:spcPts val="600"/>
            </a:spcAft>
            <a:buFont typeface="Wingdings" charset="2"/>
            <a:buChar char="q"/>
            <a:defRPr sz="1800">
              <a:solidFill>
                <a:schemeClr val="accent6">
                  <a:lumMod val="75000"/>
                </a:schemeClr>
              </a:solidFill>
              <a:latin typeface="+mn-lt"/>
              <a:ea typeface="ＭＳ Ｐゴシック" charset="0"/>
              <a:cs typeface="+mn-cs"/>
            </a:defRPr>
          </a:lvl1pPr>
          <a:lvl2pPr marL="633413" indent="-285750" algn="just" rtl="0" eaLnBrk="1" fontAlgn="base" hangingPunct="1">
            <a:spcBef>
              <a:spcPts val="600"/>
            </a:spcBef>
            <a:spcAft>
              <a:spcPts val="600"/>
            </a:spcAft>
            <a:buFont typeface="Wingdings" charset="2"/>
            <a:buChar char="Ø"/>
            <a:defRPr sz="1800">
              <a:solidFill>
                <a:schemeClr val="accent6">
                  <a:lumMod val="75000"/>
                </a:schemeClr>
              </a:solidFill>
              <a:latin typeface="+mn-lt"/>
              <a:ea typeface="Arial" charset="0"/>
              <a:cs typeface="+mn-cs"/>
            </a:defRPr>
          </a:lvl2pPr>
          <a:lvl3pPr marL="987425" indent="-265113" algn="just" rtl="0" eaLnBrk="1" fontAlgn="base" hangingPunct="1">
            <a:spcBef>
              <a:spcPts val="600"/>
            </a:spcBef>
            <a:spcAft>
              <a:spcPts val="600"/>
            </a:spcAft>
            <a:buSzPct val="75000"/>
            <a:buFont typeface="Lucida Grande"/>
            <a:buChar char="-"/>
            <a:tabLst>
              <a:tab pos="987425" algn="l"/>
            </a:tabLst>
            <a:defRPr sz="1800">
              <a:solidFill>
                <a:schemeClr val="accent6">
                  <a:lumMod val="75000"/>
                </a:schemeClr>
              </a:solidFill>
              <a:latin typeface="+mn-lt"/>
              <a:ea typeface="Arial" charset="0"/>
              <a:cs typeface="+mn-cs"/>
            </a:defRPr>
          </a:lvl3pPr>
          <a:lvl4pPr marL="1343025" indent="-274638" algn="just" rtl="0" eaLnBrk="1" fontAlgn="base" hangingPunct="1">
            <a:spcBef>
              <a:spcPts val="600"/>
            </a:spcBef>
            <a:spcAft>
              <a:spcPts val="600"/>
            </a:spcAft>
            <a:buSzPct val="75000"/>
            <a:buChar char="•"/>
            <a:tabLst>
              <a:tab pos="1343025" algn="l"/>
            </a:tabLst>
            <a:defRPr sz="1800">
              <a:solidFill>
                <a:schemeClr val="accent6">
                  <a:lumMod val="75000"/>
                </a:schemeClr>
              </a:solidFill>
              <a:latin typeface="+mn-lt"/>
              <a:ea typeface="Arial" charset="0"/>
              <a:cs typeface="+mn-cs"/>
            </a:defRPr>
          </a:lvl4pPr>
          <a:lvl5pPr marL="1700213" indent="-263525" algn="just" rtl="0" eaLnBrk="1" fontAlgn="base" hangingPunct="1">
            <a:spcBef>
              <a:spcPts val="600"/>
            </a:spcBef>
            <a:spcAft>
              <a:spcPts val="600"/>
            </a:spcAft>
            <a:buSzPct val="75000"/>
            <a:buFont typeface="Wingdings" charset="2"/>
            <a:buChar char="ü"/>
            <a:defRPr sz="1800">
              <a:solidFill>
                <a:schemeClr val="accent6">
                  <a:lumMod val="75000"/>
                </a:schemeClr>
              </a:solidFill>
              <a:latin typeface="+mn-lt"/>
              <a:ea typeface="Arial" charset="0"/>
              <a:cs typeface="+mn-cs"/>
            </a:defRPr>
          </a:lvl5pPr>
          <a:lvl6pPr marL="2711450" indent="-120650" algn="just" rtl="0" eaLnBrk="1" fontAlgn="base" hangingPunct="1">
            <a:spcBef>
              <a:spcPct val="75000"/>
            </a:spcBef>
            <a:spcAft>
              <a:spcPct val="0"/>
            </a:spcAft>
            <a:buSzPct val="75000"/>
            <a:buChar char="•"/>
            <a:defRPr sz="1400">
              <a:solidFill>
                <a:srgbClr val="1D4D81"/>
              </a:solidFill>
              <a:latin typeface="+mn-lt"/>
              <a:cs typeface="+mn-cs"/>
            </a:defRPr>
          </a:lvl6pPr>
          <a:lvl7pPr marL="3168650" indent="-120650" algn="just" rtl="0" eaLnBrk="1" fontAlgn="base" hangingPunct="1">
            <a:spcBef>
              <a:spcPct val="75000"/>
            </a:spcBef>
            <a:spcAft>
              <a:spcPct val="0"/>
            </a:spcAft>
            <a:buSzPct val="75000"/>
            <a:buChar char="•"/>
            <a:defRPr sz="1400">
              <a:solidFill>
                <a:srgbClr val="1D4D81"/>
              </a:solidFill>
              <a:latin typeface="+mn-lt"/>
              <a:cs typeface="+mn-cs"/>
            </a:defRPr>
          </a:lvl7pPr>
          <a:lvl8pPr marL="3625850" indent="-120650" algn="just" rtl="0" eaLnBrk="1" fontAlgn="base" hangingPunct="1">
            <a:spcBef>
              <a:spcPct val="75000"/>
            </a:spcBef>
            <a:spcAft>
              <a:spcPct val="0"/>
            </a:spcAft>
            <a:buSzPct val="75000"/>
            <a:buChar char="•"/>
            <a:defRPr sz="1400">
              <a:solidFill>
                <a:srgbClr val="1D4D81"/>
              </a:solidFill>
              <a:latin typeface="+mn-lt"/>
              <a:cs typeface="+mn-cs"/>
            </a:defRPr>
          </a:lvl8pPr>
          <a:lvl9pPr marL="4083050" indent="-120650" algn="just" rtl="0" eaLnBrk="1" fontAlgn="base" hangingPunct="1">
            <a:spcBef>
              <a:spcPct val="75000"/>
            </a:spcBef>
            <a:spcAft>
              <a:spcPct val="0"/>
            </a:spcAft>
            <a:buSzPct val="75000"/>
            <a:buChar char="•"/>
            <a:defRPr sz="1400">
              <a:solidFill>
                <a:srgbClr val="1D4D81"/>
              </a:solidFill>
              <a:latin typeface="+mn-lt"/>
              <a:cs typeface="+mn-cs"/>
            </a:defRPr>
          </a:lvl9pPr>
        </a:lstStyle>
        <a:p>
          <a:pPr marL="271463" indent="-271463">
            <a:defRPr/>
          </a:pPr>
          <a:r>
            <a:rPr lang="es-ES_tradnl" sz="1200" b="0">
              <a:solidFill>
                <a:schemeClr val="accent5">
                  <a:lumMod val="75000"/>
                </a:schemeClr>
              </a:solidFill>
              <a:latin typeface="Arial" charset="0"/>
            </a:rPr>
            <a:t>Dados los siguientes FD a 3 y 6 meses, calcular los tipos implícitos 3x6 (suponga base ACT/360):</a:t>
          </a:r>
        </a:p>
        <a:p>
          <a:pPr marL="655638" lvl="3">
            <a:buFont typeface="Lucida Grande"/>
            <a:buChar char="−"/>
            <a:defRPr/>
          </a:pPr>
          <a:r>
            <a:rPr lang="es-ES_tradnl" sz="1200" b="0">
              <a:solidFill>
                <a:schemeClr val="accent5">
                  <a:lumMod val="75000"/>
                </a:schemeClr>
              </a:solidFill>
              <a:latin typeface="Arial" charset="0"/>
            </a:rPr>
            <a:t> FD3 meses (90d) = 1,0026;  FD6 meses (180d) = 1,0011</a:t>
          </a:r>
        </a:p>
        <a:p>
          <a:pPr marL="271463" lvl="1" indent="-271463">
            <a:buFont typeface="Wingdings" charset="0"/>
            <a:buChar char="§"/>
            <a:defRPr/>
          </a:pPr>
          <a:r>
            <a:rPr lang="es-ES_tradnl" sz="1200" b="0">
              <a:solidFill>
                <a:schemeClr val="accent5">
                  <a:lumMod val="75000"/>
                </a:schemeClr>
              </a:solidFill>
              <a:latin typeface="Arial" charset="0"/>
              <a:ea typeface="ＭＳ Ｐゴシック" charset="0"/>
            </a:rPr>
            <a:t>Dados los siguientes FD a 12 y 24 meses, calcular los tipos implícitos 12x24 </a:t>
          </a:r>
          <a:r>
            <a:rPr lang="es-ES_tradnl" sz="1200" b="0">
              <a:solidFill>
                <a:schemeClr val="accent5">
                  <a:lumMod val="75000"/>
                </a:schemeClr>
              </a:solidFill>
              <a:latin typeface="Arial" charset="0"/>
            </a:rPr>
            <a:t>(suponga base ACT/360):</a:t>
          </a:r>
        </a:p>
        <a:p>
          <a:pPr marL="655638" lvl="3">
            <a:buFont typeface="Lucida Grande"/>
            <a:buChar char="−"/>
            <a:defRPr/>
          </a:pPr>
          <a:r>
            <a:rPr lang="es-ES_tradnl" sz="1200" b="0">
              <a:solidFill>
                <a:schemeClr val="accent5">
                  <a:lumMod val="75000"/>
                </a:schemeClr>
              </a:solidFill>
              <a:latin typeface="Arial" charset="0"/>
            </a:rPr>
            <a:t>FD 12 meses (365d) = 1,0009; FD 24 meses  (730d) = 1,0001</a:t>
          </a:r>
        </a:p>
      </xdr:txBody>
    </xdr:sp>
    <xdr:clientData/>
  </xdr:twoCellAnchor>
  <xdr:twoCellAnchor>
    <xdr:from>
      <xdr:col>8</xdr:col>
      <xdr:colOff>205804</xdr:colOff>
      <xdr:row>44</xdr:row>
      <xdr:rowOff>23641</xdr:rowOff>
    </xdr:from>
    <xdr:to>
      <xdr:col>15</xdr:col>
      <xdr:colOff>575733</xdr:colOff>
      <xdr:row>47</xdr:row>
      <xdr:rowOff>159423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Grp="1" noChangeArrowheads="1"/>
        </xdr:cNvSpPr>
      </xdr:nvSpPr>
      <xdr:spPr bwMode="auto">
        <a:xfrm>
          <a:off x="9349804" y="8443741"/>
          <a:ext cx="6148429" cy="719982"/>
        </a:xfrm>
        <a:prstGeom prst="rect">
          <a:avLst/>
        </a:prstGeom>
        <a:noFill/>
        <a:ln>
          <a:noFill/>
        </a:ln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lvl1pPr marL="273050" indent="-273050" algn="just" rtl="0" eaLnBrk="0" fontAlgn="base" hangingPunct="0">
            <a:spcBef>
              <a:spcPts val="600"/>
            </a:spcBef>
            <a:spcAft>
              <a:spcPts val="600"/>
            </a:spcAft>
            <a:buFont typeface="Wingdings" charset="2"/>
            <a:buChar char="q"/>
            <a:defRPr lang="es-ES" sz="1800" b="0" dirty="0" smtClean="0">
              <a:solidFill>
                <a:srgbClr val="263974"/>
              </a:solidFill>
              <a:latin typeface="+mn-lt"/>
              <a:ea typeface="ＭＳ Ｐゴシック" charset="0"/>
              <a:cs typeface="+mn-cs"/>
            </a:defRPr>
          </a:lvl1pPr>
          <a:lvl2pPr marL="649287" indent="-285750" algn="just" rtl="0" eaLnBrk="0" fontAlgn="base" hangingPunct="0">
            <a:spcBef>
              <a:spcPts val="600"/>
            </a:spcBef>
            <a:spcAft>
              <a:spcPts val="600"/>
            </a:spcAft>
            <a:buFont typeface="Lucida Grande"/>
            <a:buNone/>
            <a:defRPr lang="es-ES" sz="1800" b="0" dirty="0" smtClean="0">
              <a:solidFill>
                <a:srgbClr val="263974"/>
              </a:solidFill>
              <a:latin typeface="+mn-lt"/>
              <a:ea typeface="Arial" charset="0"/>
              <a:cs typeface="+mn-cs"/>
            </a:defRPr>
          </a:lvl2pPr>
          <a:lvl3pPr marL="649287" indent="-285750" algn="just" defTabSz="893763" rtl="0" eaLnBrk="0" fontAlgn="base" hangingPunct="0">
            <a:spcBef>
              <a:spcPts val="600"/>
            </a:spcBef>
            <a:spcAft>
              <a:spcPts val="600"/>
            </a:spcAft>
            <a:buSzPct val="100000"/>
            <a:buFont typeface="Lucida Grande"/>
            <a:buNone/>
            <a:tabLst>
              <a:tab pos="893763" algn="l"/>
              <a:tab pos="1698625" algn="l"/>
            </a:tabLst>
            <a:defRPr lang="es-ES" sz="1800" dirty="0" smtClean="0">
              <a:solidFill>
                <a:srgbClr val="263974"/>
              </a:solidFill>
              <a:latin typeface="+mn-lt"/>
              <a:ea typeface="Arial" charset="0"/>
              <a:cs typeface="+mn-cs"/>
            </a:defRPr>
          </a:lvl3pPr>
          <a:lvl4pPr marL="903288" indent="-285750" algn="just" rtl="0" eaLnBrk="0" fontAlgn="base" hangingPunct="0">
            <a:spcBef>
              <a:spcPts val="600"/>
            </a:spcBef>
            <a:spcAft>
              <a:spcPts val="600"/>
            </a:spcAft>
            <a:buSzPct val="100000"/>
            <a:buFont typeface="Courier New"/>
            <a:buChar char="o"/>
            <a:tabLst>
              <a:tab pos="1698625" algn="l"/>
            </a:tabLst>
            <a:defRPr sz="1800" b="0">
              <a:solidFill>
                <a:srgbClr val="263974"/>
              </a:solidFill>
              <a:latin typeface="+mn-lt"/>
              <a:ea typeface="Arial" charset="0"/>
              <a:cs typeface="+mn-cs"/>
            </a:defRPr>
          </a:lvl4pPr>
          <a:lvl5pPr marL="1358900" indent="-285750" algn="just" rtl="0" eaLnBrk="0" fontAlgn="base" hangingPunct="0">
            <a:spcBef>
              <a:spcPts val="600"/>
            </a:spcBef>
            <a:spcAft>
              <a:spcPts val="600"/>
            </a:spcAft>
            <a:buSzPct val="100000"/>
            <a:buFont typeface="Lucida Grande" charset="0"/>
            <a:buNone/>
            <a:tabLst>
              <a:tab pos="1698625" algn="l"/>
            </a:tabLst>
            <a:defRPr lang="en-GB" sz="1800" dirty="0">
              <a:solidFill>
                <a:srgbClr val="263974"/>
              </a:solidFill>
              <a:latin typeface="+mn-lt"/>
              <a:ea typeface="Arial" charset="0"/>
              <a:cs typeface="+mn-cs"/>
            </a:defRPr>
          </a:lvl5pPr>
          <a:lvl6pPr marL="2711450" indent="-120650" algn="just" rtl="0" eaLnBrk="1" fontAlgn="base" hangingPunct="1">
            <a:spcBef>
              <a:spcPct val="75000"/>
            </a:spcBef>
            <a:spcAft>
              <a:spcPct val="0"/>
            </a:spcAft>
            <a:buSzPct val="75000"/>
            <a:buChar char="•"/>
            <a:defRPr sz="1400">
              <a:solidFill>
                <a:srgbClr val="1D4D81"/>
              </a:solidFill>
              <a:latin typeface="+mn-lt"/>
              <a:cs typeface="+mn-cs"/>
            </a:defRPr>
          </a:lvl6pPr>
          <a:lvl7pPr marL="3168650" indent="-120650" algn="just" rtl="0" eaLnBrk="1" fontAlgn="base" hangingPunct="1">
            <a:spcBef>
              <a:spcPct val="75000"/>
            </a:spcBef>
            <a:spcAft>
              <a:spcPct val="0"/>
            </a:spcAft>
            <a:buSzPct val="75000"/>
            <a:buChar char="•"/>
            <a:defRPr sz="1400">
              <a:solidFill>
                <a:srgbClr val="1D4D81"/>
              </a:solidFill>
              <a:latin typeface="+mn-lt"/>
              <a:cs typeface="+mn-cs"/>
            </a:defRPr>
          </a:lvl7pPr>
          <a:lvl8pPr marL="3625850" indent="-120650" algn="just" rtl="0" eaLnBrk="1" fontAlgn="base" hangingPunct="1">
            <a:spcBef>
              <a:spcPct val="75000"/>
            </a:spcBef>
            <a:spcAft>
              <a:spcPct val="0"/>
            </a:spcAft>
            <a:buSzPct val="75000"/>
            <a:buChar char="•"/>
            <a:defRPr sz="1400">
              <a:solidFill>
                <a:srgbClr val="1D4D81"/>
              </a:solidFill>
              <a:latin typeface="+mn-lt"/>
              <a:cs typeface="+mn-cs"/>
            </a:defRPr>
          </a:lvl8pPr>
          <a:lvl9pPr marL="4083050" indent="-120650" algn="just" rtl="0" eaLnBrk="1" fontAlgn="base" hangingPunct="1">
            <a:spcBef>
              <a:spcPct val="75000"/>
            </a:spcBef>
            <a:spcAft>
              <a:spcPct val="0"/>
            </a:spcAft>
            <a:buSzPct val="75000"/>
            <a:buChar char="•"/>
            <a:defRPr sz="1400">
              <a:solidFill>
                <a:srgbClr val="1D4D81"/>
              </a:solidFill>
              <a:latin typeface="+mn-lt"/>
              <a:cs typeface="+mn-cs"/>
            </a:defRPr>
          </a:lvl9pPr>
        </a:lstStyle>
        <a:p>
          <a:pPr marL="271463" indent="-271463" algn="just" rtl="0" eaLnBrk="0" fontAlgn="base" hangingPunct="0">
            <a:spcBef>
              <a:spcPts val="600"/>
            </a:spcBef>
            <a:spcAft>
              <a:spcPts val="600"/>
            </a:spcAft>
          </a:pPr>
          <a:r>
            <a:rPr lang="es-ES_tradnl" sz="1200" b="0">
              <a:solidFill>
                <a:srgbClr val="2F5597"/>
              </a:solidFill>
              <a:latin typeface="Arial" charset="0"/>
              <a:ea typeface="ＭＳ Ｐゴシック" charset="0"/>
              <a:cs typeface="Arial" charset="0"/>
            </a:rPr>
            <a:t>Dados los siguientes tipos de interés a 12 y 24 meses, calcular los tipos implícitos 12x24 (Suponga Base Act 360):</a:t>
          </a:r>
        </a:p>
        <a:p>
          <a:pPr marL="655638" lvl="3" algn="just" rtl="0" eaLnBrk="0" fontAlgn="base" hangingPunct="0">
            <a:spcBef>
              <a:spcPts val="600"/>
            </a:spcBef>
            <a:spcAft>
              <a:spcPts val="600"/>
            </a:spcAft>
            <a:buFont typeface="Lucida Grande" charset="0"/>
            <a:buChar char="−"/>
            <a:tabLst>
              <a:tab pos="1073150" algn="l"/>
            </a:tabLst>
          </a:pPr>
          <a:r>
            <a:rPr lang="es-ES_tradnl" sz="1200" b="0">
              <a:solidFill>
                <a:srgbClr val="2F5597"/>
              </a:solidFill>
              <a:latin typeface="Arial" charset="0"/>
              <a:ea typeface="ＭＳ Ｐゴシック" charset="0"/>
              <a:cs typeface="Arial" charset="0"/>
            </a:rPr>
            <a:t>r12 meses (366 días) = - 0,035%; r24 meses (732 días) = - 0,002%</a:t>
          </a:r>
        </a:p>
        <a:p>
          <a:pPr marL="655638" lvl="3" algn="just" rtl="0" eaLnBrk="0" fontAlgn="base" hangingPunct="0">
            <a:spcBef>
              <a:spcPts val="600"/>
            </a:spcBef>
            <a:spcAft>
              <a:spcPts val="600"/>
            </a:spcAft>
            <a:buFont typeface="Lucida Grande" charset="0"/>
            <a:buChar char="−"/>
            <a:tabLst>
              <a:tab pos="1073150" algn="l"/>
            </a:tabLst>
          </a:pPr>
          <a:r>
            <a:rPr lang="es-ES_tradnl" sz="1200" b="0">
              <a:solidFill>
                <a:srgbClr val="2F5597"/>
              </a:solidFill>
              <a:latin typeface="Arial" charset="0"/>
              <a:ea typeface="ＭＳ Ｐゴシック" charset="0"/>
              <a:cs typeface="Arial" charset="0"/>
            </a:rPr>
            <a:t>r12 meses (365 días) = - 0,034%; r24 meses (730 días) = - 0,001%</a:t>
          </a:r>
        </a:p>
        <a:p>
          <a:pPr marL="655638" lvl="3" algn="just" rtl="0" eaLnBrk="0" fontAlgn="base" hangingPunct="0">
            <a:spcBef>
              <a:spcPts val="600"/>
            </a:spcBef>
            <a:spcAft>
              <a:spcPts val="600"/>
            </a:spcAft>
            <a:buFont typeface="Lucida Grande" charset="0"/>
            <a:buChar char="−"/>
            <a:tabLst>
              <a:tab pos="1073150" algn="l"/>
            </a:tabLst>
          </a:pPr>
          <a:r>
            <a:rPr lang="es-ES_tradnl" sz="1200" b="0">
              <a:solidFill>
                <a:srgbClr val="2F5597"/>
              </a:solidFill>
              <a:latin typeface="Arial" charset="0"/>
              <a:ea typeface="ＭＳ Ｐゴシック" charset="0"/>
              <a:cs typeface="Arial" charset="0"/>
            </a:rPr>
            <a:t>r12 meses (365 días) = - 0,032%; r24 meses (732 días) = - 0,003%</a:t>
          </a:r>
        </a:p>
        <a:p>
          <a:pPr marL="271463" indent="-271463" algn="just" rtl="0" eaLnBrk="0" fontAlgn="base" hangingPunct="0">
            <a:spcBef>
              <a:spcPts val="600"/>
            </a:spcBef>
            <a:spcAft>
              <a:spcPts val="600"/>
            </a:spcAft>
          </a:pPr>
          <a:endParaRPr lang="es-ES_tradnl" sz="1200" b="0">
            <a:solidFill>
              <a:srgbClr val="2F5597"/>
            </a:solidFill>
            <a:latin typeface="Arial" charset="0"/>
            <a:ea typeface="ＭＳ Ｐゴシック" charset="0"/>
            <a:cs typeface="Arial" charset="0"/>
          </a:endParaRPr>
        </a:p>
      </xdr:txBody>
    </xdr:sp>
    <xdr:clientData/>
  </xdr:twoCellAnchor>
  <xdr:twoCellAnchor editAs="oneCell">
    <xdr:from>
      <xdr:col>3</xdr:col>
      <xdr:colOff>292100</xdr:colOff>
      <xdr:row>2</xdr:row>
      <xdr:rowOff>25400</xdr:rowOff>
    </xdr:from>
    <xdr:to>
      <xdr:col>8</xdr:col>
      <xdr:colOff>385935</xdr:colOff>
      <xdr:row>13</xdr:row>
      <xdr:rowOff>80757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rgbClr val="D9C3A5">
              <a:tint val="50000"/>
              <a:satMod val="18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300" y="508000"/>
          <a:ext cx="4170535" cy="21000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1247775</xdr:colOff>
          <xdr:row>0</xdr:row>
          <xdr:rowOff>28575</xdr:rowOff>
        </xdr:from>
        <xdr:to>
          <xdr:col>1</xdr:col>
          <xdr:colOff>981075</xdr:colOff>
          <xdr:row>0</xdr:row>
          <xdr:rowOff>257175</xdr:rowOff>
        </xdr:to>
        <xdr:sp macro="" textlink="">
          <xdr:nvSpPr>
            <xdr:cNvPr id="9217" name="Drop Down 5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1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14400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622300</xdr:colOff>
      <xdr:row>2</xdr:row>
      <xdr:rowOff>12700</xdr:rowOff>
    </xdr:from>
    <xdr:to>
      <xdr:col>11</xdr:col>
      <xdr:colOff>533400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355600</xdr:colOff>
      <xdr:row>1</xdr:row>
      <xdr:rowOff>127000</xdr:rowOff>
    </xdr:from>
    <xdr:to>
      <xdr:col>24</xdr:col>
      <xdr:colOff>266700</xdr:colOff>
      <xdr:row>29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10</xdr:row>
      <xdr:rowOff>0</xdr:rowOff>
    </xdr:from>
    <xdr:to>
      <xdr:col>23</xdr:col>
      <xdr:colOff>393700</xdr:colOff>
      <xdr:row>28</xdr:row>
      <xdr:rowOff>165100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01\pventura$\Users\emiliogamarra\Documents\Trabajo\1)%20Clases\1)%20IBME\0)%20Master%20MFIA\2020\2)%20Bonos\Practica%20Formulari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\Mis%20documentos\trabajo\Clases\IOF\Master%20Auditor&#237;a\Practica%20Formulari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01\pventura$\Users\emiliogamarra\Documents\Trabajo\1)%20Clases\1)%20IBME\0)%20Master%20MFIA\2020\2)%20Bonos\IBME-Mfia-Bonos-27Mar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\IBME-AyTP-Trading%20Tipo%20inter&#233;s-Jun1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01\pventura$\Users\emiliogamarra\Documents\Trabajo\1)%20Clases\1)%20IBME\0)%20Master%20MFIA\2020\2)%20Bonos\IBME-Mfia-Bonos-09May1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emiliogamarra\Dropbox\IBME-Mfia-Bonos-05may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gamarra/Documents/Instituto/MFIA/2)%20Bonos/IBME-Mfia-Bonos-27Abr2019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01\pventura$\Users\emiliogamarra\Documents\Trabajo\1)%20Clases\1)%20IBME\1)%20Master%20MFIA\2019\11)%20GARF\caso\IBME-Mfia-Bonos-11May1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FIA\2)%20Bonos\IBME-Mfia-Bonos-11May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nta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ntas"/>
      <sheetName val="Bonos"/>
      <sheetName val="Datos Bonos"/>
      <sheetName val="B&amp;S"/>
      <sheetName val="Aleat"/>
    </sheetNames>
    <sheetDataSet>
      <sheetData sheetId="0">
        <row r="4">
          <cell r="A4">
            <v>3</v>
          </cell>
        </row>
        <row r="5">
          <cell r="B5">
            <v>100</v>
          </cell>
          <cell r="E5">
            <v>0.05</v>
          </cell>
        </row>
        <row r="6">
          <cell r="B6">
            <v>4</v>
          </cell>
        </row>
        <row r="7">
          <cell r="B7">
            <v>100</v>
          </cell>
        </row>
        <row r="13">
          <cell r="A13">
            <v>37065</v>
          </cell>
          <cell r="C13">
            <v>-100</v>
          </cell>
        </row>
        <row r="14">
          <cell r="A14">
            <v>37430</v>
          </cell>
          <cell r="C14">
            <v>4</v>
          </cell>
        </row>
        <row r="15">
          <cell r="A15">
            <v>37795</v>
          </cell>
          <cell r="C15">
            <v>4</v>
          </cell>
        </row>
        <row r="16">
          <cell r="A16">
            <v>38161</v>
          </cell>
          <cell r="C16">
            <v>4</v>
          </cell>
        </row>
        <row r="17">
          <cell r="A17">
            <v>38526</v>
          </cell>
          <cell r="C17">
            <v>4</v>
          </cell>
        </row>
        <row r="18">
          <cell r="A18">
            <v>38891</v>
          </cell>
          <cell r="C18">
            <v>4</v>
          </cell>
        </row>
        <row r="19">
          <cell r="A19">
            <v>39256</v>
          </cell>
          <cell r="C19">
            <v>4</v>
          </cell>
        </row>
        <row r="20">
          <cell r="A20">
            <v>39622</v>
          </cell>
          <cell r="C20">
            <v>4</v>
          </cell>
        </row>
        <row r="21">
          <cell r="A21">
            <v>39987</v>
          </cell>
          <cell r="C21">
            <v>4</v>
          </cell>
        </row>
        <row r="22">
          <cell r="A22">
            <v>40352</v>
          </cell>
          <cell r="C22">
            <v>4</v>
          </cell>
        </row>
        <row r="23">
          <cell r="A23">
            <v>40717</v>
          </cell>
          <cell r="C23">
            <v>4</v>
          </cell>
        </row>
        <row r="24">
          <cell r="A24">
            <v>41083</v>
          </cell>
          <cell r="C24">
            <v>4</v>
          </cell>
        </row>
        <row r="25">
          <cell r="A25">
            <v>41448</v>
          </cell>
          <cell r="C25">
            <v>4</v>
          </cell>
        </row>
        <row r="26">
          <cell r="A26">
            <v>41813</v>
          </cell>
          <cell r="C26">
            <v>4</v>
          </cell>
        </row>
        <row r="27">
          <cell r="A27">
            <v>42178</v>
          </cell>
          <cell r="C27">
            <v>4</v>
          </cell>
        </row>
        <row r="28">
          <cell r="A28">
            <v>42544</v>
          </cell>
          <cell r="C28">
            <v>4</v>
          </cell>
        </row>
        <row r="29">
          <cell r="A29">
            <v>42909</v>
          </cell>
          <cell r="C29">
            <v>4</v>
          </cell>
        </row>
        <row r="30">
          <cell r="A30">
            <v>43274</v>
          </cell>
          <cell r="C30">
            <v>4</v>
          </cell>
        </row>
        <row r="31">
          <cell r="A31">
            <v>43639</v>
          </cell>
          <cell r="C31">
            <v>4</v>
          </cell>
        </row>
        <row r="32">
          <cell r="A32">
            <v>44005</v>
          </cell>
          <cell r="C32">
            <v>4</v>
          </cell>
        </row>
        <row r="33">
          <cell r="A33">
            <v>44370</v>
          </cell>
          <cell r="C33">
            <v>104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Bonos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dora"/>
      <sheetName val="Precios Fwd"/>
      <sheetName val="Equivalentes"/>
      <sheetName val="Gestión Duración"/>
      <sheetName val="Curva"/>
      <sheetName val="Valor relativo"/>
      <sheetName val="Cost of carry"/>
      <sheetName val="CTD antes vencimiento"/>
      <sheetName val="Téorico Fut Con C"/>
      <sheetName val="Téorico Fut Sin C"/>
    </sheetNames>
    <sheetDataSet>
      <sheetData sheetId="0">
        <row r="2">
          <cell r="O2">
            <v>1</v>
          </cell>
          <cell r="P2" t="str">
            <v>SPGB 5,00 30 JUL 2012</v>
          </cell>
          <cell r="Q2">
            <v>0.05</v>
          </cell>
          <cell r="R2">
            <v>41120</v>
          </cell>
          <cell r="S2">
            <v>100.42100000000001</v>
          </cell>
        </row>
        <row r="3">
          <cell r="O3">
            <v>2</v>
          </cell>
          <cell r="P3" t="str">
            <v>SPGB 3,90 31 OCT 2012</v>
          </cell>
          <cell r="Q3">
            <v>3.9E-2</v>
          </cell>
          <cell r="R3">
            <v>41213</v>
          </cell>
          <cell r="S3">
            <v>100.502</v>
          </cell>
        </row>
        <row r="4">
          <cell r="O4">
            <v>3</v>
          </cell>
          <cell r="P4" t="str">
            <v>SPGB 6,15 31 JAN 2013</v>
          </cell>
          <cell r="Q4">
            <v>6.1499999999999999E-2</v>
          </cell>
          <cell r="R4">
            <v>41305</v>
          </cell>
          <cell r="S4">
            <v>101.601</v>
          </cell>
        </row>
        <row r="5">
          <cell r="O5">
            <v>4</v>
          </cell>
          <cell r="P5" t="str">
            <v>SPGB 2,30 30 APR 2013</v>
          </cell>
          <cell r="Q5">
            <v>2.3E-2</v>
          </cell>
          <cell r="R5">
            <v>41394</v>
          </cell>
          <cell r="S5">
            <v>98.397000000000006</v>
          </cell>
        </row>
        <row r="6">
          <cell r="O6">
            <v>5</v>
          </cell>
          <cell r="P6" t="str">
            <v>SPGB 4,20 30 JUL 2013</v>
          </cell>
          <cell r="Q6">
            <v>4.200000000000001E-2</v>
          </cell>
          <cell r="R6">
            <v>41485</v>
          </cell>
          <cell r="S6">
            <v>99.662999999999997</v>
          </cell>
        </row>
        <row r="7">
          <cell r="O7">
            <v>6</v>
          </cell>
          <cell r="P7" t="str">
            <v>SPGB 2,50 31 OCT 2013</v>
          </cell>
          <cell r="Q7">
            <v>2.5000000000000001E-2</v>
          </cell>
          <cell r="R7">
            <v>41578</v>
          </cell>
          <cell r="S7">
            <v>97.194999999999993</v>
          </cell>
        </row>
        <row r="8">
          <cell r="O8">
            <v>7</v>
          </cell>
          <cell r="P8" t="str">
            <v>SPGB 4,25 31 JAN 2014</v>
          </cell>
          <cell r="Q8">
            <v>4.2500000000000003E-2</v>
          </cell>
          <cell r="R8">
            <v>41670</v>
          </cell>
          <cell r="S8">
            <v>99.052999999999997</v>
          </cell>
        </row>
        <row r="9">
          <cell r="O9">
            <v>8</v>
          </cell>
          <cell r="P9" t="str">
            <v>SPGB 3,40 30 APR 2014</v>
          </cell>
          <cell r="Q9">
            <v>3.3999999999999996E-2</v>
          </cell>
          <cell r="R9">
            <v>41759</v>
          </cell>
          <cell r="S9">
            <v>97.263000000000005</v>
          </cell>
        </row>
        <row r="10">
          <cell r="O10">
            <v>9</v>
          </cell>
          <cell r="P10" t="str">
            <v>SPGB 4,75 30 JUL 2014</v>
          </cell>
          <cell r="Q10">
            <v>4.7500000000000001E-2</v>
          </cell>
          <cell r="R10">
            <v>41850</v>
          </cell>
          <cell r="S10">
            <v>99.293000000000006</v>
          </cell>
        </row>
        <row r="11">
          <cell r="O11">
            <v>10</v>
          </cell>
          <cell r="P11" t="str">
            <v>SPGB 3,30 31 OCT 2014</v>
          </cell>
          <cell r="Q11">
            <v>3.3000000000000002E-2</v>
          </cell>
          <cell r="R11">
            <v>41943</v>
          </cell>
          <cell r="S11">
            <v>95.900999999999996</v>
          </cell>
        </row>
        <row r="12">
          <cell r="O12">
            <v>11</v>
          </cell>
          <cell r="P12" t="str">
            <v>SPGB 4,40 31 JAN 2015</v>
          </cell>
          <cell r="Q12">
            <v>4.4000000000000004E-2</v>
          </cell>
          <cell r="R12" t="e">
            <v>#REF!</v>
          </cell>
          <cell r="S12">
            <v>97.891999999999996</v>
          </cell>
        </row>
        <row r="13">
          <cell r="O13">
            <v>14</v>
          </cell>
          <cell r="P13" t="str">
            <v>SPGB 3,00 30 APR 2015</v>
          </cell>
          <cell r="Q13">
            <v>0.03</v>
          </cell>
          <cell r="R13" t="e">
            <v>#REF!</v>
          </cell>
          <cell r="S13">
            <v>93.611000000000004</v>
          </cell>
        </row>
        <row r="14">
          <cell r="O14">
            <v>12</v>
          </cell>
          <cell r="P14" t="str">
            <v>SPGB 4,00 30 JUL 2015</v>
          </cell>
          <cell r="Q14">
            <v>0.04</v>
          </cell>
          <cell r="R14" t="e">
            <v>#REF!</v>
          </cell>
          <cell r="S14">
            <v>95.515000000000001</v>
          </cell>
        </row>
        <row r="15">
          <cell r="O15">
            <v>13</v>
          </cell>
          <cell r="P15" t="str">
            <v>SPGB 3,15 31 JAN 2016</v>
          </cell>
          <cell r="Q15">
            <v>3.15E-2</v>
          </cell>
          <cell r="R15" t="e">
            <v>#REF!</v>
          </cell>
          <cell r="S15">
            <v>91.564999999999998</v>
          </cell>
        </row>
        <row r="16">
          <cell r="O16">
            <v>15</v>
          </cell>
          <cell r="P16" t="str">
            <v>SPGB 3,25 30 APR 2016</v>
          </cell>
          <cell r="Q16">
            <v>3.2500000000000001E-2</v>
          </cell>
          <cell r="R16" t="e">
            <v>#REF!</v>
          </cell>
          <cell r="S16">
            <v>91.263000000000005</v>
          </cell>
        </row>
        <row r="17">
          <cell r="O17">
            <v>16</v>
          </cell>
          <cell r="P17" t="str">
            <v>SPGB 4,25 31 OCT 2016</v>
          </cell>
          <cell r="Q17">
            <v>4.2500000000000003E-2</v>
          </cell>
          <cell r="R17">
            <v>42674</v>
          </cell>
          <cell r="S17">
            <v>93.278999999999996</v>
          </cell>
        </row>
        <row r="18">
          <cell r="O18">
            <v>17</v>
          </cell>
          <cell r="P18" t="str">
            <v>SPGB 3,80 31 JAN 2017</v>
          </cell>
          <cell r="Q18">
            <v>3.7999999999999999E-2</v>
          </cell>
          <cell r="R18">
            <v>42766</v>
          </cell>
          <cell r="S18">
            <v>90.971000000000004</v>
          </cell>
        </row>
        <row r="19">
          <cell r="O19">
            <v>18</v>
          </cell>
          <cell r="P19" t="str">
            <v>SPGB 5,50 30 JUL 2017</v>
          </cell>
          <cell r="Q19">
            <v>5.4999999999999993E-2</v>
          </cell>
          <cell r="R19">
            <v>42946</v>
          </cell>
          <cell r="S19">
            <v>97.063999999999993</v>
          </cell>
        </row>
        <row r="20">
          <cell r="O20">
            <v>19</v>
          </cell>
          <cell r="P20" t="str">
            <v>SPGB 4,10 30 JUL 2018</v>
          </cell>
          <cell r="Q20">
            <v>4.0999999999999995E-2</v>
          </cell>
          <cell r="R20">
            <v>43311</v>
          </cell>
          <cell r="S20">
            <v>88.971999999999994</v>
          </cell>
        </row>
        <row r="21">
          <cell r="O21">
            <v>20</v>
          </cell>
          <cell r="P21" t="str">
            <v>SPGB 4,60 30 JUL 2019</v>
          </cell>
          <cell r="Q21">
            <v>4.5999999999999999E-2</v>
          </cell>
          <cell r="R21">
            <v>43676</v>
          </cell>
          <cell r="S21">
            <v>89.89</v>
          </cell>
        </row>
        <row r="22">
          <cell r="O22">
            <v>21</v>
          </cell>
          <cell r="P22" t="str">
            <v>SPGB 4,30 31 OCT 2019</v>
          </cell>
          <cell r="Q22">
            <v>4.2999999999999997E-2</v>
          </cell>
          <cell r="R22">
            <v>43769</v>
          </cell>
          <cell r="S22">
            <v>87.736999999999995</v>
          </cell>
        </row>
        <row r="23">
          <cell r="O23">
            <v>22</v>
          </cell>
          <cell r="P23" t="str">
            <v>SPGB 4,00 30 APR 2020</v>
          </cell>
          <cell r="Q23">
            <v>0.04</v>
          </cell>
          <cell r="R23">
            <v>43951</v>
          </cell>
          <cell r="S23">
            <v>85.132999999999996</v>
          </cell>
        </row>
        <row r="24">
          <cell r="O24">
            <v>23</v>
          </cell>
          <cell r="P24" t="str">
            <v>SPGB 4,85 31 OCT 2020</v>
          </cell>
          <cell r="Q24">
            <v>4.8499999999999995E-2</v>
          </cell>
          <cell r="R24">
            <v>44135</v>
          </cell>
          <cell r="S24">
            <v>89.073999999999998</v>
          </cell>
        </row>
        <row r="25">
          <cell r="O25">
            <v>24</v>
          </cell>
          <cell r="P25" t="str">
            <v>SPGB 5,50 30 APR 2021</v>
          </cell>
          <cell r="Q25">
            <v>5.4999999999999993E-2</v>
          </cell>
          <cell r="R25">
            <v>44316</v>
          </cell>
          <cell r="S25">
            <v>92.492999999999995</v>
          </cell>
        </row>
        <row r="26">
          <cell r="O26">
            <v>25</v>
          </cell>
          <cell r="P26" t="str">
            <v>SPGB 5,85 31 JAN 2022</v>
          </cell>
          <cell r="Q26">
            <v>5.8499999999999996E-2</v>
          </cell>
          <cell r="R26">
            <v>44592</v>
          </cell>
          <cell r="S26">
            <v>93.781000000000006</v>
          </cell>
        </row>
        <row r="27">
          <cell r="O27">
            <v>26</v>
          </cell>
          <cell r="P27" t="str">
            <v>SPGB 4,80 31 JAN 2024</v>
          </cell>
          <cell r="Q27">
            <v>4.7999999999999994E-2</v>
          </cell>
          <cell r="R27">
            <v>45322</v>
          </cell>
          <cell r="S27">
            <v>83.677000000000007</v>
          </cell>
        </row>
        <row r="28">
          <cell r="O28">
            <v>27</v>
          </cell>
          <cell r="P28" t="str">
            <v>SPGB 4,65 30 JUL 2025</v>
          </cell>
          <cell r="Q28">
            <v>4.6500000000000007E-2</v>
          </cell>
          <cell r="R28">
            <v>45868</v>
          </cell>
          <cell r="S28">
            <v>80.558999999999997</v>
          </cell>
        </row>
        <row r="29">
          <cell r="O29">
            <v>28</v>
          </cell>
          <cell r="P29" t="str">
            <v>SPGB 5,90 30 JUL 2026</v>
          </cell>
          <cell r="Q29">
            <v>5.9000000000000011E-2</v>
          </cell>
          <cell r="R29">
            <v>46233</v>
          </cell>
          <cell r="S29">
            <v>90.209000000000003</v>
          </cell>
        </row>
        <row r="30">
          <cell r="O30">
            <v>29</v>
          </cell>
          <cell r="P30" t="str">
            <v>SPGB 6,00 31 JAN 2029</v>
          </cell>
          <cell r="Q30">
            <v>0.06</v>
          </cell>
          <cell r="R30">
            <v>47149</v>
          </cell>
          <cell r="S30">
            <v>90.221000000000004</v>
          </cell>
        </row>
        <row r="31">
          <cell r="O31">
            <v>30</v>
          </cell>
          <cell r="P31" t="str">
            <v>SPGB 5,75 30 JUL 2032</v>
          </cell>
          <cell r="Q31">
            <v>5.7499999999999996E-2</v>
          </cell>
          <cell r="R31">
            <v>48425</v>
          </cell>
          <cell r="S31">
            <v>86.656000000000006</v>
          </cell>
        </row>
        <row r="32">
          <cell r="O32">
            <v>31</v>
          </cell>
          <cell r="P32" t="str">
            <v>SPGB 4,20 31 JAN 2037</v>
          </cell>
          <cell r="Q32">
            <v>4.200000000000001E-2</v>
          </cell>
          <cell r="R32">
            <v>50071</v>
          </cell>
          <cell r="S32">
            <v>68.126000000000005</v>
          </cell>
        </row>
        <row r="33">
          <cell r="O33">
            <v>32</v>
          </cell>
          <cell r="P33" t="str">
            <v>SPGB 4,90 30 JUL 2040</v>
          </cell>
          <cell r="Q33">
            <v>4.9000000000000009E-2</v>
          </cell>
          <cell r="R33">
            <v>51347</v>
          </cell>
          <cell r="S33">
            <v>74.741</v>
          </cell>
        </row>
        <row r="34">
          <cell r="O34">
            <v>33</v>
          </cell>
          <cell r="P34" t="str">
            <v>SPGB 4,70 30 JUL 2041</v>
          </cell>
          <cell r="Q34">
            <v>4.7E-2</v>
          </cell>
          <cell r="R34">
            <v>51712</v>
          </cell>
          <cell r="S34">
            <v>72.622</v>
          </cell>
        </row>
        <row r="35">
          <cell r="O35">
            <v>34</v>
          </cell>
          <cell r="P35" t="str">
            <v>DBR 0,75% Sep 2013</v>
          </cell>
          <cell r="Q35">
            <v>7.4999999999999997E-3</v>
          </cell>
          <cell r="R35">
            <v>41530</v>
          </cell>
          <cell r="S35">
            <v>100.85299999999999</v>
          </cell>
        </row>
        <row r="36">
          <cell r="O36">
            <v>35</v>
          </cell>
          <cell r="P36" t="str">
            <v>DBR 4% Jul 2016</v>
          </cell>
          <cell r="Q36">
            <v>0.04</v>
          </cell>
          <cell r="R36">
            <v>42555</v>
          </cell>
          <cell r="S36">
            <v>114.59399999999999</v>
          </cell>
        </row>
        <row r="37">
          <cell r="O37">
            <v>36</v>
          </cell>
          <cell r="P37" t="str">
            <v>DBR 3% Jul2020</v>
          </cell>
          <cell r="Q37">
            <v>0.03</v>
          </cell>
          <cell r="R37">
            <v>44016</v>
          </cell>
          <cell r="S37">
            <v>114.422</v>
          </cell>
        </row>
        <row r="38">
          <cell r="O38">
            <v>37</v>
          </cell>
          <cell r="P38" t="str">
            <v>DBR 4% Ene 2037</v>
          </cell>
          <cell r="Q38">
            <v>0.04</v>
          </cell>
          <cell r="R38">
            <v>50044</v>
          </cell>
          <cell r="S38">
            <v>136.1</v>
          </cell>
        </row>
        <row r="39">
          <cell r="O39">
            <v>38</v>
          </cell>
          <cell r="P39" t="str">
            <v>DBR 2,50% 01.04.21</v>
          </cell>
          <cell r="Q39">
            <v>2.5000000000000001E-2</v>
          </cell>
          <cell r="R39">
            <v>44200</v>
          </cell>
          <cell r="S39">
            <v>110.55200000000001</v>
          </cell>
        </row>
        <row r="40">
          <cell r="O40">
            <v>39</v>
          </cell>
          <cell r="P40" t="str">
            <v>DBR 2,00% 04.01.2022</v>
          </cell>
          <cell r="Q40">
            <v>0.02</v>
          </cell>
          <cell r="R40">
            <v>44565</v>
          </cell>
          <cell r="S40">
            <v>105.84</v>
          </cell>
        </row>
        <row r="41">
          <cell r="O41">
            <v>40</v>
          </cell>
          <cell r="P41" t="str">
            <v>DBR 0,00% 13.06.2014</v>
          </cell>
          <cell r="Q41">
            <v>0</v>
          </cell>
          <cell r="R41">
            <v>41803</v>
          </cell>
          <cell r="S41">
            <v>99.834999999999994</v>
          </cell>
        </row>
        <row r="42">
          <cell r="O42">
            <v>41</v>
          </cell>
          <cell r="P42" t="str">
            <v>US 0,25% 31.05.2014</v>
          </cell>
          <cell r="Q42">
            <v>2.5000000000000001E-3</v>
          </cell>
          <cell r="R42">
            <v>41790</v>
          </cell>
          <cell r="S42">
            <v>99.96875</v>
          </cell>
        </row>
        <row r="43">
          <cell r="O43">
            <v>42</v>
          </cell>
          <cell r="P43" t="str">
            <v>US 0,625% 31.05.2017</v>
          </cell>
          <cell r="Q43">
            <v>6.2500000000000003E-3</v>
          </cell>
          <cell r="R43">
            <v>42886</v>
          </cell>
          <cell r="S43">
            <v>99.5625</v>
          </cell>
        </row>
        <row r="44">
          <cell r="O44">
            <v>43</v>
          </cell>
          <cell r="P44" t="str">
            <v>US 1,75% 15.05.2022</v>
          </cell>
          <cell r="Q44">
            <v>1.7500000000000002E-2</v>
          </cell>
          <cell r="R44">
            <v>44696</v>
          </cell>
          <cell r="S44">
            <v>101.09375</v>
          </cell>
        </row>
        <row r="45">
          <cell r="O45">
            <v>44</v>
          </cell>
          <cell r="P45" t="str">
            <v>US 3,00% 15.05.2042</v>
          </cell>
          <cell r="Q45">
            <v>0.03</v>
          </cell>
          <cell r="R45">
            <v>52001</v>
          </cell>
          <cell r="S45">
            <v>105.265625</v>
          </cell>
        </row>
        <row r="46">
          <cell r="O46">
            <v>45</v>
          </cell>
          <cell r="P46" t="str">
            <v>US 2,75% 15.02.2019</v>
          </cell>
          <cell r="Q46">
            <v>2.75E-2</v>
          </cell>
          <cell r="R46">
            <v>43511</v>
          </cell>
          <cell r="S46">
            <v>111.25</v>
          </cell>
        </row>
        <row r="47">
          <cell r="O47">
            <v>46</v>
          </cell>
        </row>
        <row r="48">
          <cell r="O48">
            <v>47</v>
          </cell>
        </row>
        <row r="49">
          <cell r="O49">
            <v>48</v>
          </cell>
        </row>
        <row r="50">
          <cell r="O50">
            <v>49</v>
          </cell>
        </row>
        <row r="51">
          <cell r="O51">
            <v>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no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"/>
      <sheetName val="Strips"/>
      <sheetName val="Precios Fwd"/>
      <sheetName val="Equivalentes"/>
      <sheetName val="Calculadora"/>
      <sheetName val="Datos Bonos"/>
      <sheetName val="Cot-Px"/>
      <sheetName val="CC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C4">
            <v>4.2000000000000003E-2</v>
          </cell>
          <cell r="H4">
            <v>39844</v>
          </cell>
        </row>
        <row r="5">
          <cell r="H5">
            <v>40209</v>
          </cell>
        </row>
        <row r="6">
          <cell r="H6">
            <v>40574</v>
          </cell>
        </row>
      </sheetData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dora"/>
      <sheetName val="Datos Bonos"/>
      <sheetName val="Cot-Px"/>
      <sheetName val="Forward"/>
      <sheetName val="CC"/>
      <sheetName val="cost of carry"/>
      <sheetName val="Precio bono"/>
      <sheetName val="Duración"/>
      <sheetName val="Duración por flujos"/>
      <sheetName val="Gestión Duración"/>
      <sheetName val="SPGB"/>
    </sheetNames>
    <sheetDataSet>
      <sheetData sheetId="0"/>
      <sheetData sheetId="1">
        <row r="2">
          <cell r="A2">
            <v>1</v>
          </cell>
        </row>
      </sheetData>
      <sheetData sheetId="2">
        <row r="4">
          <cell r="C4">
            <v>4.2000000000000003E-2</v>
          </cell>
          <cell r="H4">
            <v>41305</v>
          </cell>
        </row>
        <row r="5">
          <cell r="H5">
            <v>41670</v>
          </cell>
        </row>
        <row r="6">
          <cell r="H6">
            <v>42035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ME-Mfia-Bonos-11May13"/>
    </sheetNames>
    <definedNames>
      <definedName name="interp"/>
    </defined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cios Fwd"/>
      <sheetName val="Calculadora"/>
      <sheetName val="CC"/>
      <sheetName val="Datos Bonos"/>
      <sheetName val="Cálculo Duración"/>
      <sheetName val="Cot-Px"/>
      <sheetName val="Gestión duración"/>
      <sheetName val="IBME-Mfia-Bonos-11May13.xls"/>
      <sheetName val="IBME-Mfia-Bonos-11May13"/>
    </sheetNames>
    <definedNames>
      <definedName name="interp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6744-ECCA-DF48-932F-D2E43C6F8529}">
  <dimension ref="A1:V55"/>
  <sheetViews>
    <sheetView showGridLines="0" workbookViewId="0">
      <selection activeCell="A3" sqref="A3:C13"/>
    </sheetView>
  </sheetViews>
  <sheetFormatPr baseColWidth="10" defaultColWidth="10.85546875" defaultRowHeight="14.25" x14ac:dyDescent="0.2"/>
  <cols>
    <col min="1" max="1" width="19.28515625" style="257" bestFit="1" customWidth="1"/>
    <col min="2" max="3" width="14.140625" style="257" bestFit="1" customWidth="1"/>
    <col min="4" max="4" width="8.42578125" style="257" bestFit="1" customWidth="1"/>
    <col min="5" max="6" width="10.85546875" style="257"/>
    <col min="7" max="7" width="12.42578125" style="257" bestFit="1" customWidth="1"/>
    <col min="8" max="16384" width="10.85546875" style="257"/>
  </cols>
  <sheetData>
    <row r="1" spans="1:13" ht="23.25" x14ac:dyDescent="0.2">
      <c r="A1" s="279" t="s">
        <v>170</v>
      </c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</row>
    <row r="3" spans="1:13" ht="15.75" x14ac:dyDescent="0.2">
      <c r="A3" s="258" t="s">
        <v>104</v>
      </c>
      <c r="B3" s="259" t="s">
        <v>115</v>
      </c>
      <c r="C3" s="259" t="s">
        <v>116</v>
      </c>
    </row>
    <row r="4" spans="1:13" ht="15" x14ac:dyDescent="0.2">
      <c r="A4" s="260" t="s">
        <v>105</v>
      </c>
      <c r="B4" s="261">
        <v>44862</v>
      </c>
      <c r="C4" s="261">
        <f>+B4</f>
        <v>44862</v>
      </c>
    </row>
    <row r="5" spans="1:13" ht="15" x14ac:dyDescent="0.2">
      <c r="A5" s="260" t="s">
        <v>106</v>
      </c>
      <c r="B5" s="262">
        <f>WORKDAY(B4,2)</f>
        <v>44866</v>
      </c>
      <c r="C5" s="262">
        <f>+B5</f>
        <v>44866</v>
      </c>
    </row>
    <row r="6" spans="1:13" ht="15" x14ac:dyDescent="0.2">
      <c r="A6" s="260" t="s">
        <v>107</v>
      </c>
      <c r="B6" s="262">
        <f>EDATE(B5,3)</f>
        <v>44958</v>
      </c>
      <c r="C6" s="262">
        <f>+B7</f>
        <v>45047</v>
      </c>
    </row>
    <row r="7" spans="1:13" ht="15" x14ac:dyDescent="0.2">
      <c r="A7" s="260" t="s">
        <v>108</v>
      </c>
      <c r="B7" s="262">
        <f>EDATE(B5,6)</f>
        <v>45047</v>
      </c>
      <c r="C7" s="262">
        <f>EDATE(C5,12)</f>
        <v>45231</v>
      </c>
    </row>
    <row r="8" spans="1:13" ht="15" x14ac:dyDescent="0.2">
      <c r="A8" s="260" t="s">
        <v>109</v>
      </c>
      <c r="B8" s="263">
        <f>+B6-B5</f>
        <v>92</v>
      </c>
      <c r="C8" s="263">
        <f>+C6-C5</f>
        <v>181</v>
      </c>
    </row>
    <row r="9" spans="1:13" ht="15" x14ac:dyDescent="0.2">
      <c r="A9" s="260" t="s">
        <v>110</v>
      </c>
      <c r="B9" s="264">
        <v>1.6410000000000001E-2</v>
      </c>
      <c r="C9" s="264">
        <f>+B11</f>
        <v>2.034E-2</v>
      </c>
    </row>
    <row r="10" spans="1:13" ht="15" x14ac:dyDescent="0.2">
      <c r="A10" s="260" t="s">
        <v>111</v>
      </c>
      <c r="B10" s="263">
        <f>+B7-B5</f>
        <v>181</v>
      </c>
      <c r="C10" s="263">
        <f>+C7-C5</f>
        <v>365</v>
      </c>
    </row>
    <row r="11" spans="1:13" ht="15" x14ac:dyDescent="0.2">
      <c r="A11" s="260" t="s">
        <v>112</v>
      </c>
      <c r="B11" s="264">
        <v>2.034E-2</v>
      </c>
      <c r="C11" s="264">
        <v>2.5669999999999998E-2</v>
      </c>
    </row>
    <row r="12" spans="1:13" ht="15" x14ac:dyDescent="0.2">
      <c r="A12" s="260" t="s">
        <v>113</v>
      </c>
      <c r="B12" s="257">
        <f>B7-B6</f>
        <v>89</v>
      </c>
      <c r="C12" s="257">
        <f>C7-C6</f>
        <v>184</v>
      </c>
    </row>
    <row r="13" spans="1:13" ht="18.75" x14ac:dyDescent="0.2">
      <c r="A13" s="265" t="s">
        <v>171</v>
      </c>
      <c r="B13" s="266">
        <f>((((1+B11*B10/360)/(1+B9*B8/360)))-1)*360/B12</f>
        <v>2.4300563447202373E-2</v>
      </c>
      <c r="C13" s="266">
        <f>((((1+C11*C10/360)/(1+C9*C8/360)))-1)*360/C12</f>
        <v>3.0600165236298316E-2</v>
      </c>
    </row>
    <row r="18" spans="1:22" ht="23.25" x14ac:dyDescent="0.2">
      <c r="A18" s="279" t="s">
        <v>172</v>
      </c>
      <c r="B18" s="279"/>
      <c r="C18" s="279"/>
      <c r="D18" s="279"/>
      <c r="E18" s="279"/>
      <c r="F18" s="279"/>
      <c r="G18" s="279"/>
      <c r="H18" s="279"/>
      <c r="I18" s="279"/>
      <c r="J18" s="279"/>
      <c r="K18" s="279"/>
      <c r="L18" s="279"/>
      <c r="M18" s="279"/>
    </row>
    <row r="22" spans="1:22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</row>
    <row r="23" spans="1:22" ht="15" x14ac:dyDescent="0.2">
      <c r="A23" s="267" t="s">
        <v>173</v>
      </c>
      <c r="B23" s="267" t="s">
        <v>174</v>
      </c>
      <c r="C23" s="267" t="s">
        <v>175</v>
      </c>
      <c r="D23" s="267" t="s">
        <v>176</v>
      </c>
      <c r="E23" s="267" t="s">
        <v>177</v>
      </c>
      <c r="F23" s="267" t="s">
        <v>178</v>
      </c>
      <c r="G23" s="267" t="s">
        <v>117</v>
      </c>
      <c r="H23" s="218"/>
      <c r="I23" s="218"/>
      <c r="J23" s="218"/>
      <c r="K23"/>
      <c r="L23"/>
      <c r="M23"/>
      <c r="N23"/>
      <c r="O23"/>
      <c r="P23"/>
      <c r="Q23"/>
      <c r="R23"/>
      <c r="S23"/>
      <c r="T23"/>
      <c r="U23"/>
      <c r="V23"/>
    </row>
    <row r="24" spans="1:22" ht="15" x14ac:dyDescent="0.2">
      <c r="A24" s="218" t="s">
        <v>179</v>
      </c>
      <c r="B24" s="268">
        <v>92</v>
      </c>
      <c r="C24" s="269">
        <v>-1.1199999999999999E-3</v>
      </c>
      <c r="D24" s="270">
        <f>+B24/360</f>
        <v>0.25555555555555554</v>
      </c>
      <c r="E24" s="271">
        <f>1+C24*D24</f>
        <v>0.99971377777777781</v>
      </c>
      <c r="F24" s="272"/>
      <c r="G24" s="218"/>
      <c r="H24" s="218"/>
      <c r="I24" s="218"/>
      <c r="J24" s="218"/>
      <c r="K24"/>
      <c r="L24"/>
      <c r="M24"/>
      <c r="N24"/>
      <c r="O24"/>
      <c r="P24"/>
      <c r="Q24"/>
      <c r="R24"/>
      <c r="S24"/>
      <c r="T24"/>
      <c r="U24"/>
      <c r="V24"/>
    </row>
    <row r="25" spans="1:22" ht="15.75" x14ac:dyDescent="0.2">
      <c r="A25" s="218" t="s">
        <v>180</v>
      </c>
      <c r="B25" s="268">
        <v>184</v>
      </c>
      <c r="C25" s="269">
        <v>-7.5000000000000002E-4</v>
      </c>
      <c r="D25" s="270">
        <f>+B25/360</f>
        <v>0.51111111111111107</v>
      </c>
      <c r="E25" s="271">
        <f t="shared" ref="E25:E31" si="0">1+C25*D25</f>
        <v>0.99961666666666671</v>
      </c>
      <c r="F25" s="218">
        <f>(E25/E24)-1</f>
        <v>-9.713891442708622E-5</v>
      </c>
      <c r="G25" s="273">
        <f>+F25*360/(B25-B24)</f>
        <v>-3.8010879558425043E-4</v>
      </c>
      <c r="H25" s="218"/>
      <c r="I25" s="218"/>
      <c r="J25" s="218"/>
      <c r="K25"/>
      <c r="L25"/>
      <c r="M25"/>
      <c r="N25"/>
      <c r="O25"/>
      <c r="P25"/>
      <c r="Q25"/>
      <c r="R25"/>
      <c r="S25"/>
      <c r="T25"/>
      <c r="U25"/>
      <c r="V25"/>
    </row>
    <row r="26" spans="1:22" ht="15" x14ac:dyDescent="0.2">
      <c r="A26" s="218"/>
      <c r="B26" s="218"/>
      <c r="C26" s="218"/>
      <c r="D26" s="270"/>
      <c r="E26" s="218"/>
      <c r="F26" s="218"/>
      <c r="G26" s="272"/>
      <c r="H26" s="218"/>
      <c r="I26" s="218"/>
      <c r="J26" s="218"/>
      <c r="K26"/>
      <c r="L26"/>
      <c r="M26"/>
      <c r="N26"/>
      <c r="O26"/>
      <c r="P26"/>
      <c r="Q26"/>
      <c r="R26"/>
      <c r="S26"/>
      <c r="T26"/>
      <c r="U26"/>
      <c r="V26"/>
    </row>
    <row r="27" spans="1:22" ht="15" x14ac:dyDescent="0.2">
      <c r="A27" s="218" t="s">
        <v>179</v>
      </c>
      <c r="B27" s="268">
        <v>90</v>
      </c>
      <c r="C27" s="269">
        <v>-1E-3</v>
      </c>
      <c r="D27" s="270">
        <f>+B27/360</f>
        <v>0.25</v>
      </c>
      <c r="E27" s="271">
        <f t="shared" si="0"/>
        <v>0.99975000000000003</v>
      </c>
      <c r="F27" s="218"/>
      <c r="G27" s="272"/>
      <c r="H27" s="218"/>
      <c r="I27" s="218"/>
      <c r="J27" s="218"/>
      <c r="K27"/>
      <c r="L27"/>
      <c r="M27"/>
      <c r="N27"/>
      <c r="O27"/>
      <c r="P27"/>
      <c r="Q27"/>
      <c r="R27"/>
      <c r="S27"/>
      <c r="T27"/>
      <c r="U27"/>
      <c r="V27"/>
    </row>
    <row r="28" spans="1:22" ht="15.75" x14ac:dyDescent="0.2">
      <c r="A28" s="218" t="s">
        <v>180</v>
      </c>
      <c r="B28" s="268">
        <v>180</v>
      </c>
      <c r="C28" s="269">
        <v>-8.0000000000000004E-4</v>
      </c>
      <c r="D28" s="270">
        <f>+B28/360</f>
        <v>0.5</v>
      </c>
      <c r="E28" s="271">
        <f t="shared" si="0"/>
        <v>0.99960000000000004</v>
      </c>
      <c r="F28" s="218">
        <f>(E28/E27)-1</f>
        <v>-1.5003750937736537E-4</v>
      </c>
      <c r="G28" s="273">
        <f>+F28*360/(B28-B27)</f>
        <v>-6.001500375094615E-4</v>
      </c>
      <c r="H28" s="218"/>
      <c r="I28" s="218"/>
      <c r="J28" s="218"/>
      <c r="K28"/>
      <c r="L28"/>
      <c r="M28"/>
      <c r="N28"/>
      <c r="O28"/>
      <c r="P28"/>
      <c r="Q28"/>
      <c r="R28"/>
      <c r="S28"/>
      <c r="T28"/>
      <c r="U28"/>
      <c r="V28"/>
    </row>
    <row r="29" spans="1:22" ht="15" x14ac:dyDescent="0.2">
      <c r="A29" s="218"/>
      <c r="B29" s="218"/>
      <c r="C29" s="218"/>
      <c r="D29" s="270"/>
      <c r="E29" s="271"/>
      <c r="F29" s="218"/>
      <c r="G29" s="272"/>
      <c r="H29" s="218"/>
      <c r="I29" s="218"/>
      <c r="J29" s="218"/>
      <c r="K29"/>
      <c r="L29"/>
      <c r="M29"/>
      <c r="N29"/>
      <c r="O29"/>
      <c r="P29"/>
      <c r="Q29"/>
      <c r="R29"/>
      <c r="S29"/>
      <c r="T29"/>
      <c r="U29"/>
      <c r="V29"/>
    </row>
    <row r="30" spans="1:22" ht="15" x14ac:dyDescent="0.2">
      <c r="A30" s="218" t="s">
        <v>179</v>
      </c>
      <c r="B30" s="268">
        <v>91</v>
      </c>
      <c r="C30" s="269">
        <v>-1.1000000000000001E-3</v>
      </c>
      <c r="D30" s="270">
        <f>+B30/360</f>
        <v>0.25277777777777777</v>
      </c>
      <c r="E30" s="271">
        <f t="shared" si="0"/>
        <v>0.9997219444444444</v>
      </c>
      <c r="F30" s="218"/>
      <c r="G30" s="272"/>
      <c r="H30" s="218"/>
      <c r="I30" s="218"/>
      <c r="J30" s="218"/>
      <c r="K30"/>
      <c r="L30"/>
      <c r="M30"/>
      <c r="N30"/>
      <c r="O30"/>
      <c r="P30"/>
      <c r="Q30"/>
      <c r="R30"/>
      <c r="S30"/>
      <c r="T30"/>
      <c r="U30"/>
      <c r="V30"/>
    </row>
    <row r="31" spans="1:22" ht="15.75" x14ac:dyDescent="0.2">
      <c r="A31" s="218" t="s">
        <v>180</v>
      </c>
      <c r="B31" s="268">
        <v>182</v>
      </c>
      <c r="C31" s="269">
        <v>-7.7999999999999999E-4</v>
      </c>
      <c r="D31" s="270">
        <f>+B31/360</f>
        <v>0.50555555555555554</v>
      </c>
      <c r="E31" s="271">
        <f t="shared" si="0"/>
        <v>0.99960566666666661</v>
      </c>
      <c r="F31" s="218">
        <f>(E31/E30)-1</f>
        <v>-1.1631011845236738E-4</v>
      </c>
      <c r="G31" s="273">
        <f>+F31*360/(B31-B30)</f>
        <v>-4.601279411302446E-4</v>
      </c>
      <c r="H31" s="218"/>
      <c r="I31" s="218"/>
      <c r="J31" s="218"/>
      <c r="K31"/>
      <c r="L31"/>
      <c r="M31"/>
      <c r="N31"/>
      <c r="O31"/>
      <c r="P31"/>
      <c r="Q31"/>
      <c r="R31"/>
      <c r="S31"/>
      <c r="T31"/>
      <c r="U31"/>
      <c r="V31"/>
    </row>
    <row r="32" spans="1:22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</row>
    <row r="33" spans="1:22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</row>
    <row r="34" spans="1:22" ht="15" x14ac:dyDescent="0.2">
      <c r="A34" s="267" t="s">
        <v>173</v>
      </c>
      <c r="B34" s="267" t="s">
        <v>174</v>
      </c>
      <c r="C34" s="267" t="s">
        <v>181</v>
      </c>
      <c r="D34" s="267" t="s">
        <v>176</v>
      </c>
      <c r="E34" s="267" t="s">
        <v>182</v>
      </c>
      <c r="F34" s="267" t="s">
        <v>183</v>
      </c>
      <c r="G34" s="267" t="s">
        <v>117</v>
      </c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1:22" ht="15" x14ac:dyDescent="0.2">
      <c r="A35" s="218" t="s">
        <v>179</v>
      </c>
      <c r="B35" s="268">
        <v>90</v>
      </c>
      <c r="C35" s="268">
        <v>1.0025999999999999</v>
      </c>
      <c r="D35" s="270">
        <f>+B35/360</f>
        <v>0.25</v>
      </c>
      <c r="E35"/>
      <c r="F35" s="271"/>
      <c r="G35" s="272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1:22" ht="15.75" x14ac:dyDescent="0.2">
      <c r="A36" s="218" t="s">
        <v>180</v>
      </c>
      <c r="B36" s="268">
        <v>180</v>
      </c>
      <c r="C36" s="268">
        <v>1.0011000000000001</v>
      </c>
      <c r="D36" s="270">
        <f>+B36/360</f>
        <v>0.5</v>
      </c>
      <c r="E36">
        <f>1/(D36-D35)</f>
        <v>4</v>
      </c>
      <c r="F36" s="271">
        <f>(C35/C36)-1</f>
        <v>1.4983518130056162E-3</v>
      </c>
      <c r="G36" s="273">
        <f>F36*E36</f>
        <v>5.9934072520224646E-3</v>
      </c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</row>
    <row r="37" spans="1:22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1:22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</row>
    <row r="39" spans="1:22" ht="15" x14ac:dyDescent="0.2">
      <c r="A39" s="267" t="s">
        <v>173</v>
      </c>
      <c r="B39" s="267" t="s">
        <v>174</v>
      </c>
      <c r="C39" s="267" t="s">
        <v>181</v>
      </c>
      <c r="D39" s="267" t="s">
        <v>176</v>
      </c>
      <c r="E39" s="267" t="s">
        <v>182</v>
      </c>
      <c r="F39" s="267" t="s">
        <v>184</v>
      </c>
      <c r="G39" s="267" t="s">
        <v>117</v>
      </c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</row>
    <row r="40" spans="1:22" ht="15" x14ac:dyDescent="0.2">
      <c r="A40" s="218" t="s">
        <v>179</v>
      </c>
      <c r="B40" s="268">
        <v>365</v>
      </c>
      <c r="C40" s="268">
        <v>1.0008999999999999</v>
      </c>
      <c r="D40" s="270">
        <f>+B40/360</f>
        <v>1.0138888888888888</v>
      </c>
      <c r="E40"/>
      <c r="F40" s="271"/>
      <c r="G40" s="218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</row>
    <row r="41" spans="1:22" ht="15.75" x14ac:dyDescent="0.2">
      <c r="A41" s="218" t="s">
        <v>180</v>
      </c>
      <c r="B41" s="268">
        <v>730</v>
      </c>
      <c r="C41" s="268">
        <v>1.0001</v>
      </c>
      <c r="D41" s="270">
        <f>+B41/360</f>
        <v>2.0277777777777777</v>
      </c>
      <c r="E41">
        <f>1/(D41-D40)</f>
        <v>0.98630136986301375</v>
      </c>
      <c r="F41" s="271">
        <f>(C40/C41)^E41</f>
        <v>1.0007889578781899</v>
      </c>
      <c r="G41" s="273">
        <f>+F41-1</f>
        <v>7.8895787818988872E-4</v>
      </c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</row>
    <row r="42" spans="1:22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</row>
    <row r="43" spans="1:22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</row>
    <row r="44" spans="1:22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</row>
    <row r="45" spans="1:22" ht="15" x14ac:dyDescent="0.2">
      <c r="A45" s="267" t="s">
        <v>173</v>
      </c>
      <c r="B45" s="267" t="s">
        <v>174</v>
      </c>
      <c r="C45" s="267" t="s">
        <v>175</v>
      </c>
      <c r="D45" s="267" t="s">
        <v>176</v>
      </c>
      <c r="E45" s="267" t="s">
        <v>185</v>
      </c>
      <c r="F45" s="267" t="s">
        <v>186</v>
      </c>
      <c r="G45" s="267" t="s">
        <v>187</v>
      </c>
      <c r="H45" s="267" t="s">
        <v>117</v>
      </c>
      <c r="I45" s="218"/>
      <c r="J45" s="218"/>
      <c r="K45" s="218"/>
      <c r="L45" s="218"/>
      <c r="M45" s="218"/>
      <c r="N45" s="218"/>
      <c r="O45"/>
      <c r="P45"/>
      <c r="Q45"/>
      <c r="R45"/>
      <c r="S45"/>
      <c r="T45"/>
      <c r="U45"/>
      <c r="V45"/>
    </row>
    <row r="46" spans="1:22" ht="15" x14ac:dyDescent="0.2">
      <c r="A46" s="218" t="s">
        <v>179</v>
      </c>
      <c r="B46" s="268">
        <v>366</v>
      </c>
      <c r="C46" s="269">
        <v>-3.5E-4</v>
      </c>
      <c r="D46" s="270">
        <f>+B46/360</f>
        <v>1.0166666666666666</v>
      </c>
      <c r="E46" s="271">
        <f>(1+C46)^D46</f>
        <v>0.99964416770463305</v>
      </c>
      <c r="F46" s="272"/>
      <c r="G46" s="218"/>
      <c r="H46" s="218"/>
      <c r="I46" s="218"/>
      <c r="J46" s="218"/>
      <c r="K46" s="218"/>
      <c r="L46" s="218"/>
      <c r="M46" s="218"/>
      <c r="N46" s="218"/>
      <c r="O46"/>
      <c r="P46"/>
      <c r="Q46"/>
      <c r="R46"/>
      <c r="S46"/>
      <c r="T46"/>
      <c r="U46"/>
      <c r="V46"/>
    </row>
    <row r="47" spans="1:22" ht="15.75" x14ac:dyDescent="0.2">
      <c r="A47" s="218" t="s">
        <v>180</v>
      </c>
      <c r="B47" s="268">
        <v>732</v>
      </c>
      <c r="C47" s="269">
        <v>-2.0000000000000002E-5</v>
      </c>
      <c r="D47" s="270">
        <f>+B47/360</f>
        <v>2.0333333333333332</v>
      </c>
      <c r="E47" s="271">
        <f t="shared" ref="E47:E53" si="1">(1+C47)^D47</f>
        <v>0.99995933375355539</v>
      </c>
      <c r="F47" s="218">
        <f>+E47/E46</f>
        <v>1.0003152782351004</v>
      </c>
      <c r="G47" s="218">
        <f>1/(D47-D46)</f>
        <v>0.98360655737704927</v>
      </c>
      <c r="H47" s="274">
        <f>(F47^G47)-1</f>
        <v>3.1010893812810636E-4</v>
      </c>
      <c r="I47" s="218"/>
      <c r="J47" s="218"/>
      <c r="K47" s="218"/>
      <c r="L47" s="218"/>
      <c r="M47" s="218"/>
      <c r="N47" s="218"/>
      <c r="O47"/>
      <c r="P47"/>
      <c r="Q47"/>
      <c r="R47"/>
      <c r="S47"/>
      <c r="T47"/>
      <c r="U47"/>
      <c r="V47"/>
    </row>
    <row r="48" spans="1:22" ht="15" x14ac:dyDescent="0.2">
      <c r="A48" s="218"/>
      <c r="B48" s="218"/>
      <c r="C48" s="271"/>
      <c r="D48" s="270"/>
      <c r="E48" s="271"/>
      <c r="F48" s="218"/>
      <c r="G48" s="218"/>
      <c r="H48" s="275"/>
      <c r="I48" s="218"/>
      <c r="J48" s="218"/>
      <c r="K48" s="218"/>
      <c r="L48" s="218"/>
      <c r="M48" s="218"/>
      <c r="N48" s="218"/>
      <c r="O48"/>
      <c r="P48"/>
      <c r="Q48"/>
      <c r="R48"/>
      <c r="S48"/>
      <c r="T48"/>
      <c r="U48"/>
      <c r="V48"/>
    </row>
    <row r="49" spans="1:22" ht="15" x14ac:dyDescent="0.2">
      <c r="A49" s="218" t="s">
        <v>179</v>
      </c>
      <c r="B49" s="268">
        <v>365</v>
      </c>
      <c r="C49" s="269">
        <v>-3.4000000000000002E-4</v>
      </c>
      <c r="D49" s="270">
        <f>+B49/360</f>
        <v>1.0138888888888888</v>
      </c>
      <c r="E49" s="271">
        <f t="shared" si="1"/>
        <v>0.99965527859179626</v>
      </c>
      <c r="F49" s="218"/>
      <c r="G49" s="218"/>
      <c r="H49" s="275"/>
      <c r="I49" s="218"/>
      <c r="J49" s="218"/>
      <c r="K49" s="218"/>
      <c r="L49" s="218"/>
      <c r="M49" s="218"/>
      <c r="N49" s="218"/>
      <c r="O49"/>
      <c r="P49"/>
      <c r="Q49"/>
      <c r="R49"/>
      <c r="S49"/>
      <c r="T49"/>
      <c r="U49"/>
      <c r="V49"/>
    </row>
    <row r="50" spans="1:22" ht="15.75" x14ac:dyDescent="0.2">
      <c r="A50" s="218" t="s">
        <v>180</v>
      </c>
      <c r="B50" s="268">
        <v>730</v>
      </c>
      <c r="C50" s="269">
        <v>-1.0000000000000001E-5</v>
      </c>
      <c r="D50" s="270">
        <f>+B50/360</f>
        <v>2.0277777777777777</v>
      </c>
      <c r="E50" s="271">
        <f t="shared" si="1"/>
        <v>0.99997972232642751</v>
      </c>
      <c r="F50" s="218">
        <f>+E50/E49</f>
        <v>1.0003245556159002</v>
      </c>
      <c r="G50" s="218">
        <f>1/(D50-D49)</f>
        <v>0.98630136986301375</v>
      </c>
      <c r="H50" s="274">
        <f>(F50^G50)-1</f>
        <v>3.20108937038599E-4</v>
      </c>
      <c r="I50" s="218"/>
      <c r="J50" s="218"/>
      <c r="K50" s="218"/>
      <c r="L50" s="218"/>
      <c r="M50" s="218"/>
      <c r="N50" s="218"/>
      <c r="O50"/>
      <c r="P50"/>
      <c r="Q50"/>
      <c r="R50"/>
      <c r="S50"/>
      <c r="T50"/>
      <c r="U50"/>
      <c r="V50"/>
    </row>
    <row r="51" spans="1:22" ht="15" x14ac:dyDescent="0.2">
      <c r="A51" s="218"/>
      <c r="B51" s="218"/>
      <c r="C51" s="271"/>
      <c r="D51" s="270"/>
      <c r="E51" s="271"/>
      <c r="F51" s="218"/>
      <c r="G51" s="218"/>
      <c r="H51" s="275"/>
      <c r="I51" s="218"/>
      <c r="J51" s="218"/>
      <c r="K51" s="218"/>
      <c r="L51" s="218"/>
      <c r="M51" s="218"/>
      <c r="N51" s="218"/>
      <c r="O51"/>
      <c r="P51"/>
      <c r="Q51"/>
      <c r="R51"/>
      <c r="S51"/>
      <c r="T51"/>
      <c r="U51"/>
      <c r="V51"/>
    </row>
    <row r="52" spans="1:22" ht="15" x14ac:dyDescent="0.2">
      <c r="A52" s="218" t="s">
        <v>179</v>
      </c>
      <c r="B52" s="268">
        <v>365</v>
      </c>
      <c r="C52" s="269">
        <v>-3.2000000000000003E-4</v>
      </c>
      <c r="D52" s="270">
        <f>+B52/360</f>
        <v>1.0138888888888888</v>
      </c>
      <c r="E52" s="271">
        <f t="shared" si="1"/>
        <v>0.99967555627661908</v>
      </c>
      <c r="F52" s="218"/>
      <c r="G52" s="218"/>
      <c r="H52" s="275"/>
      <c r="I52" s="218"/>
      <c r="J52" s="218"/>
      <c r="K52" s="218"/>
      <c r="L52" s="218"/>
      <c r="M52" s="218"/>
      <c r="N52" s="218"/>
      <c r="O52"/>
      <c r="P52"/>
      <c r="Q52"/>
      <c r="R52"/>
      <c r="S52"/>
      <c r="T52"/>
      <c r="U52"/>
      <c r="V52"/>
    </row>
    <row r="53" spans="1:22" ht="15.75" x14ac:dyDescent="0.2">
      <c r="A53" s="218" t="s">
        <v>180</v>
      </c>
      <c r="B53" s="268">
        <v>732</v>
      </c>
      <c r="C53" s="269">
        <v>-3.0000000000000001E-5</v>
      </c>
      <c r="D53" s="270">
        <f>+B53/360</f>
        <v>2.0333333333333332</v>
      </c>
      <c r="E53" s="271">
        <f t="shared" si="1"/>
        <v>0.9999390009454997</v>
      </c>
      <c r="F53" s="218">
        <f>+E53/E52</f>
        <v>1.0002635301695901</v>
      </c>
      <c r="G53" s="218">
        <f>1/(D53-D52)</f>
        <v>0.98092643051771122</v>
      </c>
      <c r="H53" s="274">
        <f>(F53^G53)-1</f>
        <v>2.5850305896857328E-4</v>
      </c>
      <c r="I53" s="218"/>
      <c r="J53" s="218"/>
      <c r="K53" s="218"/>
      <c r="L53" s="218"/>
      <c r="M53" s="218"/>
      <c r="N53" s="218"/>
      <c r="O53"/>
      <c r="P53"/>
      <c r="Q53"/>
      <c r="R53"/>
      <c r="S53"/>
      <c r="T53"/>
      <c r="U53"/>
      <c r="V53"/>
    </row>
    <row r="54" spans="1:22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1:22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</row>
  </sheetData>
  <mergeCells count="2">
    <mergeCell ref="A1:M1"/>
    <mergeCell ref="A18:M18"/>
  </mergeCells>
  <pageMargins left="0.75" right="0.75" top="1" bottom="1" header="0.5" footer="0.5"/>
  <pageSetup paperSize="9" orientation="portrait" horizontalDpi="4294967292" verticalDpi="429496729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61"/>
  <sheetViews>
    <sheetView showGridLines="0" tabSelected="1" zoomScale="85" zoomScaleNormal="85" zoomScalePageLayoutView="115" workbookViewId="0">
      <selection activeCell="B24" sqref="B24"/>
    </sheetView>
  </sheetViews>
  <sheetFormatPr baseColWidth="10" defaultColWidth="11.42578125" defaultRowHeight="15.75" x14ac:dyDescent="0.2"/>
  <cols>
    <col min="1" max="1" width="31.140625" style="8" bestFit="1" customWidth="1"/>
    <col min="2" max="2" width="14.7109375" style="8" customWidth="1"/>
    <col min="3" max="3" width="11.7109375" style="8" bestFit="1" customWidth="1"/>
    <col min="4" max="4" width="11.140625" style="8" bestFit="1" customWidth="1"/>
    <col min="5" max="5" width="11" style="8" bestFit="1" customWidth="1"/>
    <col min="6" max="6" width="13.7109375" style="8" bestFit="1" customWidth="1"/>
    <col min="7" max="7" width="11.140625" style="8" bestFit="1" customWidth="1"/>
    <col min="8" max="8" width="9.42578125" style="8" bestFit="1" customWidth="1"/>
    <col min="9" max="9" width="15.42578125" style="8" bestFit="1" customWidth="1"/>
    <col min="10" max="10" width="8.42578125" style="8" bestFit="1" customWidth="1"/>
    <col min="11" max="11" width="14.42578125" style="8" bestFit="1" customWidth="1"/>
    <col min="12" max="12" width="11.42578125" style="8" bestFit="1" customWidth="1"/>
    <col min="13" max="13" width="19" style="8" bestFit="1" customWidth="1"/>
    <col min="14" max="14" width="11.42578125" style="8"/>
    <col min="15" max="15" width="47.7109375" style="8" bestFit="1" customWidth="1"/>
    <col min="16" max="16" width="17.42578125" style="8" bestFit="1" customWidth="1"/>
    <col min="17" max="17" width="11.42578125" style="8"/>
    <col min="18" max="18" width="17.28515625" style="29" bestFit="1" customWidth="1"/>
    <col min="19" max="19" width="16.7109375" style="29" bestFit="1" customWidth="1"/>
    <col min="20" max="20" width="11.42578125" style="8"/>
    <col min="21" max="21" width="14.28515625" style="8" customWidth="1"/>
    <col min="22" max="22" width="19.140625" style="8" bestFit="1" customWidth="1"/>
    <col min="23" max="23" width="14.28515625" style="8" bestFit="1" customWidth="1"/>
    <col min="24" max="16384" width="11.42578125" style="8"/>
  </cols>
  <sheetData>
    <row r="1" spans="1:23" ht="23.25" x14ac:dyDescent="0.2">
      <c r="A1" s="2" t="s">
        <v>15</v>
      </c>
      <c r="B1" s="3">
        <v>10</v>
      </c>
      <c r="C1" s="4"/>
      <c r="D1" s="5"/>
      <c r="E1" s="5"/>
      <c r="F1" s="5"/>
      <c r="G1" s="5"/>
      <c r="H1" s="5"/>
      <c r="I1" s="5"/>
      <c r="J1" s="5"/>
      <c r="K1" s="5"/>
      <c r="L1" s="6" t="s">
        <v>1</v>
      </c>
      <c r="M1" s="7" t="s">
        <v>16</v>
      </c>
      <c r="O1" s="283" t="s">
        <v>17</v>
      </c>
      <c r="P1" s="283"/>
      <c r="R1" s="280" t="s">
        <v>18</v>
      </c>
      <c r="S1" s="280"/>
      <c r="U1" s="280" t="s">
        <v>114</v>
      </c>
      <c r="V1" s="280"/>
      <c r="W1" s="280"/>
    </row>
    <row r="2" spans="1:23" ht="23.1" customHeight="1" x14ac:dyDescent="0.2">
      <c r="A2" s="9" t="s">
        <v>0</v>
      </c>
      <c r="B2" s="10">
        <f>VLOOKUP(B1,basebonos,3)*100</f>
        <v>0.6</v>
      </c>
      <c r="C2" s="4"/>
      <c r="D2" s="5"/>
      <c r="E2" s="5"/>
      <c r="F2" s="5"/>
      <c r="G2" s="7" t="s">
        <v>19</v>
      </c>
      <c r="H2" s="7" t="s">
        <v>20</v>
      </c>
      <c r="I2" s="7" t="s">
        <v>2</v>
      </c>
      <c r="J2" s="7" t="s">
        <v>21</v>
      </c>
      <c r="K2" s="7" t="s">
        <v>22</v>
      </c>
      <c r="L2" s="11"/>
      <c r="M2" s="12" t="s">
        <v>23</v>
      </c>
      <c r="O2" s="13" t="s">
        <v>5</v>
      </c>
      <c r="P2" s="14">
        <f>B3</f>
        <v>47422</v>
      </c>
      <c r="R2" s="13" t="s">
        <v>5</v>
      </c>
      <c r="S2" s="14">
        <f>+P2</f>
        <v>47422</v>
      </c>
      <c r="U2" s="118" t="s">
        <v>104</v>
      </c>
      <c r="V2" s="125" t="s">
        <v>115</v>
      </c>
      <c r="W2" s="125" t="s">
        <v>116</v>
      </c>
    </row>
    <row r="3" spans="1:23" ht="18.75" x14ac:dyDescent="0.2">
      <c r="A3" s="9" t="s">
        <v>24</v>
      </c>
      <c r="B3" s="15">
        <f>VLOOKUP(B1,basebonos,4)</f>
        <v>47422</v>
      </c>
      <c r="C3" s="4"/>
      <c r="D3" s="7" t="s">
        <v>25</v>
      </c>
      <c r="E3" s="7" t="s">
        <v>26</v>
      </c>
      <c r="F3" s="7" t="s">
        <v>27</v>
      </c>
      <c r="G3" s="12" t="s">
        <v>28</v>
      </c>
      <c r="H3" s="12" t="s">
        <v>29</v>
      </c>
      <c r="I3" s="12" t="s">
        <v>30</v>
      </c>
      <c r="J3" s="12" t="s">
        <v>31</v>
      </c>
      <c r="K3" s="12" t="s">
        <v>32</v>
      </c>
      <c r="L3" s="12" t="s">
        <v>33</v>
      </c>
      <c r="M3" s="7" t="s">
        <v>34</v>
      </c>
      <c r="O3" s="13" t="s">
        <v>0</v>
      </c>
      <c r="P3" s="255">
        <f>+B2/100</f>
        <v>6.0000000000000001E-3</v>
      </c>
      <c r="R3" s="13" t="s">
        <v>35</v>
      </c>
      <c r="S3" s="16">
        <f>+P3</f>
        <v>6.0000000000000001E-3</v>
      </c>
      <c r="U3" s="119" t="s">
        <v>105</v>
      </c>
      <c r="V3" s="126">
        <v>44526</v>
      </c>
      <c r="W3" s="126">
        <v>44526</v>
      </c>
    </row>
    <row r="4" spans="1:23" x14ac:dyDescent="0.2">
      <c r="A4" s="9" t="s">
        <v>36</v>
      </c>
      <c r="B4" s="17">
        <v>44876</v>
      </c>
      <c r="C4" s="4"/>
      <c r="D4" s="18">
        <f>+B6</f>
        <v>44880</v>
      </c>
      <c r="E4" s="19">
        <f>-B7</f>
        <v>-2.4657534246575342E-2</v>
      </c>
      <c r="F4" s="19">
        <f>-B5</f>
        <v>-86.070999999999998</v>
      </c>
      <c r="G4" s="19">
        <f t="shared" ref="G4:G54" si="0">+E4+F4</f>
        <v>-86.09565753424657</v>
      </c>
      <c r="O4" s="20" t="s">
        <v>36</v>
      </c>
      <c r="P4" s="21">
        <f ca="1">TODAY()</f>
        <v>44963</v>
      </c>
      <c r="R4" s="13" t="s">
        <v>4</v>
      </c>
      <c r="S4" s="22">
        <v>1000000</v>
      </c>
      <c r="U4" s="121" t="s">
        <v>106</v>
      </c>
      <c r="V4" s="127">
        <f>+V3+4</f>
        <v>44530</v>
      </c>
      <c r="W4" s="127">
        <f>+W3+4</f>
        <v>44530</v>
      </c>
    </row>
    <row r="5" spans="1:23" ht="31.5" x14ac:dyDescent="0.2">
      <c r="A5" s="9" t="s">
        <v>37</v>
      </c>
      <c r="B5" s="10">
        <f>VLOOKUP(B1,basebonos,5)</f>
        <v>86.070999999999998</v>
      </c>
      <c r="C5" s="4"/>
      <c r="D5" s="18">
        <f>+B16</f>
        <v>45230</v>
      </c>
      <c r="E5" s="23">
        <f t="shared" ref="E5:E54" si="1">+IF(D5&lt;=$B$3,$B$2,0)</f>
        <v>0.6</v>
      </c>
      <c r="F5" s="23">
        <f t="shared" ref="F5:F54" si="2">+IF(D5=$B$3,100,0)</f>
        <v>0</v>
      </c>
      <c r="G5" s="23">
        <f>+E5+F5</f>
        <v>0.6</v>
      </c>
      <c r="H5" s="24">
        <f t="shared" ref="H5:H54" si="3">+D5-$D$4</f>
        <v>350</v>
      </c>
      <c r="I5" s="25">
        <f>H5/(B14)</f>
        <v>0.95890410958904104</v>
      </c>
      <c r="J5" s="26">
        <f>1/((1+$B$20)^I5)</f>
        <v>0.97358342601824954</v>
      </c>
      <c r="K5" s="27">
        <f>+G5*J5</f>
        <v>0.58415005561094968</v>
      </c>
      <c r="L5" s="25">
        <f t="shared" ref="L5:L54" si="4">+I5*K5</f>
        <v>0.56014388894200651</v>
      </c>
      <c r="M5" s="25">
        <f t="shared" ref="M5:M54" si="5">+((G5*I5)*(1+I5))/((1+$B$20)^(I5+2))</f>
        <v>1.0376778305015681</v>
      </c>
      <c r="O5" s="28" t="s">
        <v>37</v>
      </c>
      <c r="P5" s="116">
        <v>100.51049999999999</v>
      </c>
      <c r="R5" s="29" t="s">
        <v>38</v>
      </c>
      <c r="S5" s="30">
        <f ca="1">+P6</f>
        <v>44965</v>
      </c>
      <c r="U5" s="121" t="s">
        <v>107</v>
      </c>
      <c r="V5" s="128">
        <f>EDATE(V4,3)</f>
        <v>44620</v>
      </c>
      <c r="W5" s="128">
        <f>+V6</f>
        <v>44711</v>
      </c>
    </row>
    <row r="6" spans="1:23" ht="31.5" x14ac:dyDescent="0.2">
      <c r="A6" s="9" t="s">
        <v>39</v>
      </c>
      <c r="B6" s="15">
        <f>+WORKDAY(B4,2)</f>
        <v>44880</v>
      </c>
      <c r="C6" s="4"/>
      <c r="D6" s="18">
        <f>EDATE(D5,12)</f>
        <v>45596</v>
      </c>
      <c r="E6" s="23">
        <f t="shared" si="1"/>
        <v>0.6</v>
      </c>
      <c r="F6" s="23">
        <f t="shared" si="2"/>
        <v>0</v>
      </c>
      <c r="G6" s="23">
        <f t="shared" si="0"/>
        <v>0.6</v>
      </c>
      <c r="H6" s="24">
        <f t="shared" si="3"/>
        <v>716</v>
      </c>
      <c r="I6" s="25">
        <f>H6/(D6-D5)</f>
        <v>1.9562841530054644</v>
      </c>
      <c r="J6" s="26">
        <f t="shared" ref="J6:J54" si="6">1/((1+$B$20)^I6)</f>
        <v>0.94684702431545609</v>
      </c>
      <c r="K6" s="27">
        <f t="shared" ref="K5:K54" si="7">+G6*J6</f>
        <v>0.56810821458927363</v>
      </c>
      <c r="L6" s="25">
        <f t="shared" si="4"/>
        <v>1.1113810973932239</v>
      </c>
      <c r="M6" s="25">
        <f t="shared" si="5"/>
        <v>3.1071265361578875</v>
      </c>
      <c r="O6" s="20" t="s">
        <v>39</v>
      </c>
      <c r="P6" s="21">
        <f ca="1">WORKDAY(P4,2)</f>
        <v>44965</v>
      </c>
      <c r="R6" s="29" t="s">
        <v>12</v>
      </c>
      <c r="S6" s="30">
        <f ca="1">+P7</f>
        <v>44865</v>
      </c>
      <c r="U6" s="121" t="s">
        <v>108</v>
      </c>
      <c r="V6" s="129">
        <f>EDATE(V4,6)</f>
        <v>44711</v>
      </c>
      <c r="W6" s="129">
        <f>EDATE(W4,12)</f>
        <v>44895</v>
      </c>
    </row>
    <row r="7" spans="1:23" ht="31.5" x14ac:dyDescent="0.2">
      <c r="A7" s="9" t="s">
        <v>40</v>
      </c>
      <c r="B7" s="31">
        <f>+B17*B2</f>
        <v>2.4657534246575342E-2</v>
      </c>
      <c r="C7" s="4"/>
      <c r="D7" s="18">
        <f t="shared" ref="D7:D54" si="8">EDATE(D6,12)</f>
        <v>45961</v>
      </c>
      <c r="E7" s="23">
        <f t="shared" si="1"/>
        <v>0.6</v>
      </c>
      <c r="F7" s="23">
        <f t="shared" si="2"/>
        <v>0</v>
      </c>
      <c r="G7" s="23">
        <f t="shared" si="0"/>
        <v>0.6</v>
      </c>
      <c r="H7" s="24">
        <f t="shared" si="3"/>
        <v>1081</v>
      </c>
      <c r="I7" s="25">
        <f t="shared" ref="I7:I54" si="9">H7/(D7-D6)</f>
        <v>2.9616438356164383</v>
      </c>
      <c r="J7" s="26">
        <f t="shared" si="6"/>
        <v>0.9206397265286812</v>
      </c>
      <c r="K7" s="27">
        <f t="shared" si="7"/>
        <v>0.55238383591720874</v>
      </c>
      <c r="L7" s="25">
        <f t="shared" si="4"/>
        <v>1.6359641825383633</v>
      </c>
      <c r="M7" s="25">
        <f t="shared" si="5"/>
        <v>6.1291320519182664</v>
      </c>
      <c r="O7" s="32" t="s">
        <v>41</v>
      </c>
      <c r="P7" s="14">
        <f ca="1">COUPPCD(P6,P2,1,1)</f>
        <v>44865</v>
      </c>
      <c r="R7" s="29" t="s">
        <v>13</v>
      </c>
      <c r="S7" s="30">
        <f ca="1">+P8</f>
        <v>45230</v>
      </c>
      <c r="U7" s="119" t="s">
        <v>109</v>
      </c>
      <c r="V7" s="120">
        <f>V5-V4</f>
        <v>90</v>
      </c>
      <c r="W7" s="120">
        <f>W5-W4</f>
        <v>181</v>
      </c>
    </row>
    <row r="8" spans="1:23" x14ac:dyDescent="0.2">
      <c r="A8" s="9" t="s">
        <v>7</v>
      </c>
      <c r="B8" s="10">
        <f>+B5+B7</f>
        <v>86.09565753424657</v>
      </c>
      <c r="C8" s="4"/>
      <c r="D8" s="18">
        <f t="shared" si="8"/>
        <v>46326</v>
      </c>
      <c r="E8" s="23">
        <f t="shared" si="1"/>
        <v>0.6</v>
      </c>
      <c r="F8" s="23">
        <f t="shared" si="2"/>
        <v>0</v>
      </c>
      <c r="G8" s="23">
        <f t="shared" si="0"/>
        <v>0.6</v>
      </c>
      <c r="H8" s="24">
        <f t="shared" si="3"/>
        <v>1446</v>
      </c>
      <c r="I8" s="25">
        <f t="shared" si="9"/>
        <v>3.9616438356164383</v>
      </c>
      <c r="J8" s="26">
        <f t="shared" si="6"/>
        <v>0.89529176654176024</v>
      </c>
      <c r="K8" s="27">
        <f t="shared" si="7"/>
        <v>0.5371750599250561</v>
      </c>
      <c r="L8" s="25">
        <f t="shared" si="4"/>
        <v>2.1280962647989892</v>
      </c>
      <c r="M8" s="25">
        <f t="shared" si="5"/>
        <v>9.9854263790043163</v>
      </c>
      <c r="O8" s="32" t="s">
        <v>42</v>
      </c>
      <c r="P8" s="14">
        <f ca="1">COUPNCD(P6,P2,1,1)</f>
        <v>45230</v>
      </c>
      <c r="R8" s="29" t="s">
        <v>9</v>
      </c>
      <c r="S8" s="33">
        <f ca="1">+S7-S6</f>
        <v>365</v>
      </c>
      <c r="U8" s="119" t="s">
        <v>110</v>
      </c>
      <c r="V8" s="123">
        <v>-5.2700000000000004E-3</v>
      </c>
      <c r="W8" s="123">
        <f>+V10</f>
        <v>-5.13E-3</v>
      </c>
    </row>
    <row r="9" spans="1:23" ht="31.5" x14ac:dyDescent="0.2">
      <c r="A9" s="34" t="s">
        <v>43</v>
      </c>
      <c r="B9" s="35">
        <v>1</v>
      </c>
      <c r="C9" s="4"/>
      <c r="D9" s="18">
        <f t="shared" si="8"/>
        <v>46691</v>
      </c>
      <c r="E9" s="23">
        <f t="shared" si="1"/>
        <v>0.6</v>
      </c>
      <c r="F9" s="23">
        <f t="shared" si="2"/>
        <v>0</v>
      </c>
      <c r="G9" s="23">
        <f t="shared" si="0"/>
        <v>0.6</v>
      </c>
      <c r="H9" s="24">
        <f t="shared" si="3"/>
        <v>1811</v>
      </c>
      <c r="I9" s="25">
        <f t="shared" si="9"/>
        <v>4.9616438356164387</v>
      </c>
      <c r="J9" s="26">
        <f t="shared" si="6"/>
        <v>0.87064171156261139</v>
      </c>
      <c r="K9" s="27">
        <f t="shared" si="7"/>
        <v>0.52238502693756683</v>
      </c>
      <c r="L9" s="25">
        <f t="shared" si="4"/>
        <v>2.5918884487231058</v>
      </c>
      <c r="M9" s="25">
        <f t="shared" si="5"/>
        <v>14.612754615324159</v>
      </c>
      <c r="O9" s="20"/>
      <c r="P9" s="36"/>
      <c r="R9" s="13" t="s">
        <v>169</v>
      </c>
      <c r="S9" s="16">
        <v>-5.4999999999999997E-3</v>
      </c>
      <c r="U9" s="119" t="s">
        <v>111</v>
      </c>
      <c r="V9" s="120">
        <f>V6-V4</f>
        <v>181</v>
      </c>
      <c r="W9" s="120">
        <f>W6-W4</f>
        <v>365</v>
      </c>
    </row>
    <row r="10" spans="1:23" x14ac:dyDescent="0.2">
      <c r="A10" s="4"/>
      <c r="B10" s="4"/>
      <c r="C10" s="4"/>
      <c r="D10" s="18">
        <f t="shared" si="8"/>
        <v>47057</v>
      </c>
      <c r="E10" s="23">
        <f t="shared" si="1"/>
        <v>0.6</v>
      </c>
      <c r="F10" s="23">
        <f t="shared" si="2"/>
        <v>0</v>
      </c>
      <c r="G10" s="23">
        <f t="shared" si="0"/>
        <v>0.6</v>
      </c>
      <c r="H10" s="24">
        <f t="shared" si="3"/>
        <v>2177</v>
      </c>
      <c r="I10" s="25">
        <f t="shared" si="9"/>
        <v>5.9480874316939891</v>
      </c>
      <c r="J10" s="26">
        <f t="shared" si="6"/>
        <v>0.84699085707719002</v>
      </c>
      <c r="K10" s="27">
        <f t="shared" si="7"/>
        <v>0.50819451424631401</v>
      </c>
      <c r="L10" s="25">
        <f t="shared" si="4"/>
        <v>3.0227854030443324</v>
      </c>
      <c r="M10" s="25">
        <f t="shared" si="5"/>
        <v>19.861971292979955</v>
      </c>
      <c r="O10" s="20" t="s">
        <v>44</v>
      </c>
      <c r="P10" s="36">
        <f ca="1">P6-P7</f>
        <v>100</v>
      </c>
      <c r="S10" s="37"/>
      <c r="U10" s="119" t="s">
        <v>112</v>
      </c>
      <c r="V10" s="123">
        <v>-5.13E-3</v>
      </c>
      <c r="W10" s="123">
        <v>-4.8300000000000001E-3</v>
      </c>
    </row>
    <row r="11" spans="1:23" ht="47.25" x14ac:dyDescent="0.2">
      <c r="A11" s="284" t="s">
        <v>45</v>
      </c>
      <c r="B11" s="285"/>
      <c r="C11" s="4"/>
      <c r="D11" s="18">
        <f t="shared" si="8"/>
        <v>47422</v>
      </c>
      <c r="E11" s="23">
        <f t="shared" si="1"/>
        <v>0.6</v>
      </c>
      <c r="F11" s="23">
        <f t="shared" si="2"/>
        <v>100</v>
      </c>
      <c r="G11" s="23">
        <f t="shared" si="0"/>
        <v>100.6</v>
      </c>
      <c r="H11" s="24">
        <f t="shared" si="3"/>
        <v>2542</v>
      </c>
      <c r="I11" s="25">
        <f t="shared" si="9"/>
        <v>6.9643835616438352</v>
      </c>
      <c r="J11" s="26">
        <f t="shared" si="6"/>
        <v>0.82329600711838813</v>
      </c>
      <c r="K11" s="27">
        <f t="shared" si="7"/>
        <v>82.823578316109845</v>
      </c>
      <c r="L11" s="25">
        <f t="shared" si="4"/>
        <v>576.81516734123625</v>
      </c>
      <c r="M11" s="25">
        <f t="shared" si="5"/>
        <v>4344.4879567357393</v>
      </c>
      <c r="O11" s="20" t="s">
        <v>46</v>
      </c>
      <c r="P11" s="36">
        <f ca="1">P8-P6</f>
        <v>265</v>
      </c>
      <c r="R11" s="38" t="s">
        <v>0</v>
      </c>
      <c r="S11" s="39">
        <f ca="1">+S3/S8*S4</f>
        <v>16.438356164383563</v>
      </c>
      <c r="U11" s="121" t="s">
        <v>113</v>
      </c>
      <c r="V11" s="122">
        <f>V9-V7</f>
        <v>91</v>
      </c>
      <c r="W11" s="122">
        <f>W9-W7</f>
        <v>184</v>
      </c>
    </row>
    <row r="12" spans="1:23" ht="23.25" x14ac:dyDescent="0.2">
      <c r="A12" s="40" t="s">
        <v>47</v>
      </c>
      <c r="B12" s="41">
        <f>+B6-B15</f>
        <v>15</v>
      </c>
      <c r="C12" s="4"/>
      <c r="D12" s="18">
        <f t="shared" si="8"/>
        <v>47787</v>
      </c>
      <c r="E12" s="23">
        <f t="shared" si="1"/>
        <v>0</v>
      </c>
      <c r="F12" s="23">
        <f t="shared" si="2"/>
        <v>0</v>
      </c>
      <c r="G12" s="23">
        <f t="shared" si="0"/>
        <v>0</v>
      </c>
      <c r="H12" s="24">
        <f t="shared" si="3"/>
        <v>2907</v>
      </c>
      <c r="I12" s="25">
        <f t="shared" si="9"/>
        <v>7.9643835616438352</v>
      </c>
      <c r="J12" s="26">
        <f t="shared" si="6"/>
        <v>0.80062821031961662</v>
      </c>
      <c r="K12" s="27">
        <f t="shared" si="7"/>
        <v>0</v>
      </c>
      <c r="L12" s="25">
        <f t="shared" si="4"/>
        <v>0</v>
      </c>
      <c r="M12" s="25">
        <f t="shared" si="5"/>
        <v>0</v>
      </c>
      <c r="O12" s="20" t="s">
        <v>48</v>
      </c>
      <c r="P12" s="36">
        <f ca="1">SUM(P10:P11)</f>
        <v>365</v>
      </c>
      <c r="R12" s="38" t="s">
        <v>49</v>
      </c>
      <c r="S12" s="39">
        <f>+S9/360*S4</f>
        <v>-15.277777777777777</v>
      </c>
      <c r="U12" s="124" t="s">
        <v>117</v>
      </c>
      <c r="V12" s="130">
        <f>(((1+V10*V9/360)/(1+V8*V7/360))-1)*(360/V11)</f>
        <v>-4.9981234892358967E-3</v>
      </c>
      <c r="W12" s="130">
        <f>(((1+W10*W9/360)/(1+W8*W7/360))-1)*(360/W11)</f>
        <v>-4.546618169260907E-3</v>
      </c>
    </row>
    <row r="13" spans="1:23" x14ac:dyDescent="0.2">
      <c r="A13" s="40" t="s">
        <v>50</v>
      </c>
      <c r="B13" s="41">
        <f>+B16-B6</f>
        <v>350</v>
      </c>
      <c r="D13" s="18">
        <f t="shared" si="8"/>
        <v>48152</v>
      </c>
      <c r="E13" s="23">
        <f t="shared" si="1"/>
        <v>0</v>
      </c>
      <c r="F13" s="23">
        <f t="shared" si="2"/>
        <v>0</v>
      </c>
      <c r="G13" s="23">
        <f t="shared" si="0"/>
        <v>0</v>
      </c>
      <c r="H13" s="24">
        <f t="shared" si="3"/>
        <v>3272</v>
      </c>
      <c r="I13" s="25">
        <f t="shared" si="9"/>
        <v>8.9643835616438352</v>
      </c>
      <c r="J13" s="26">
        <f t="shared" si="6"/>
        <v>0.77858452563516078</v>
      </c>
      <c r="K13" s="27">
        <f t="shared" si="7"/>
        <v>0</v>
      </c>
      <c r="L13" s="25">
        <f t="shared" si="4"/>
        <v>0</v>
      </c>
      <c r="M13" s="25">
        <f t="shared" si="5"/>
        <v>0</v>
      </c>
      <c r="O13" s="20" t="s">
        <v>51</v>
      </c>
      <c r="P13" s="42">
        <f ca="1">P10/P12</f>
        <v>0.27397260273972601</v>
      </c>
      <c r="V13" s="8" t="s">
        <v>118</v>
      </c>
    </row>
    <row r="14" spans="1:23" x14ac:dyDescent="0.2">
      <c r="A14" s="40" t="s">
        <v>52</v>
      </c>
      <c r="B14" s="41">
        <f>+B12+B13</f>
        <v>365</v>
      </c>
      <c r="D14" s="18">
        <f t="shared" si="8"/>
        <v>48518</v>
      </c>
      <c r="E14" s="23">
        <f t="shared" si="1"/>
        <v>0</v>
      </c>
      <c r="F14" s="23">
        <f t="shared" si="2"/>
        <v>0</v>
      </c>
      <c r="G14" s="23">
        <f t="shared" si="0"/>
        <v>0</v>
      </c>
      <c r="H14" s="24">
        <f t="shared" si="3"/>
        <v>3638</v>
      </c>
      <c r="I14" s="25">
        <f t="shared" si="9"/>
        <v>9.9398907103825138</v>
      </c>
      <c r="J14" s="26">
        <f t="shared" si="6"/>
        <v>0.75766569841734299</v>
      </c>
      <c r="K14" s="27">
        <f t="shared" si="7"/>
        <v>0</v>
      </c>
      <c r="L14" s="25">
        <f t="shared" si="4"/>
        <v>0</v>
      </c>
      <c r="M14" s="25">
        <f t="shared" si="5"/>
        <v>0</v>
      </c>
      <c r="R14" s="43" t="s">
        <v>53</v>
      </c>
      <c r="S14" s="286">
        <f ca="1">+S11-S12</f>
        <v>31.716133942161342</v>
      </c>
    </row>
    <row r="15" spans="1:23" x14ac:dyDescent="0.2">
      <c r="A15" s="40" t="s">
        <v>54</v>
      </c>
      <c r="B15" s="44">
        <f>COUPPCD(B6,B3,B9,1)</f>
        <v>44865</v>
      </c>
      <c r="C15" s="4"/>
      <c r="D15" s="18">
        <f t="shared" si="8"/>
        <v>48883</v>
      </c>
      <c r="E15" s="23">
        <f t="shared" si="1"/>
        <v>0</v>
      </c>
      <c r="F15" s="23">
        <f t="shared" si="2"/>
        <v>0</v>
      </c>
      <c r="G15" s="23">
        <f t="shared" si="0"/>
        <v>0</v>
      </c>
      <c r="H15" s="24">
        <f t="shared" si="3"/>
        <v>4003</v>
      </c>
      <c r="I15" s="25">
        <f t="shared" si="9"/>
        <v>10.967123287671233</v>
      </c>
      <c r="J15" s="26">
        <f t="shared" si="6"/>
        <v>0.73624491297244143</v>
      </c>
      <c r="K15" s="27">
        <f t="shared" si="7"/>
        <v>0</v>
      </c>
      <c r="L15" s="25">
        <f t="shared" si="4"/>
        <v>0</v>
      </c>
      <c r="M15" s="25">
        <f t="shared" si="5"/>
        <v>0</v>
      </c>
      <c r="O15" s="43" t="s">
        <v>14</v>
      </c>
      <c r="P15" s="115">
        <f ca="1">P3*P10/P12</f>
        <v>1.643835616438356E-3</v>
      </c>
      <c r="R15" s="43" t="str">
        <f ca="1">IF(S14&gt;0%,"Carry Positivo","Carry Negativo")</f>
        <v>Carry Positivo</v>
      </c>
      <c r="S15" s="286"/>
    </row>
    <row r="16" spans="1:23" x14ac:dyDescent="0.2">
      <c r="A16" s="40" t="s">
        <v>55</v>
      </c>
      <c r="B16" s="44">
        <f>COUPNCD(B6,B3,B9,1)</f>
        <v>45230</v>
      </c>
      <c r="C16" s="4"/>
      <c r="D16" s="18">
        <f t="shared" si="8"/>
        <v>49248</v>
      </c>
      <c r="E16" s="23">
        <f t="shared" si="1"/>
        <v>0</v>
      </c>
      <c r="F16" s="23">
        <f t="shared" si="2"/>
        <v>0</v>
      </c>
      <c r="G16" s="23">
        <f t="shared" si="0"/>
        <v>0</v>
      </c>
      <c r="H16" s="24">
        <f t="shared" si="3"/>
        <v>4368</v>
      </c>
      <c r="I16" s="25">
        <f t="shared" si="9"/>
        <v>11.967123287671233</v>
      </c>
      <c r="J16" s="26">
        <f t="shared" si="6"/>
        <v>0.71597389266250233</v>
      </c>
      <c r="K16" s="27">
        <f t="shared" si="7"/>
        <v>0</v>
      </c>
      <c r="L16" s="25">
        <f t="shared" si="4"/>
        <v>0</v>
      </c>
      <c r="M16" s="25">
        <f t="shared" si="5"/>
        <v>0</v>
      </c>
      <c r="O16" s="43" t="s">
        <v>56</v>
      </c>
      <c r="P16" s="45">
        <f ca="1">+P5/100+P15</f>
        <v>1.0067488356164382</v>
      </c>
      <c r="R16" s="46" t="s">
        <v>57</v>
      </c>
      <c r="S16" s="287">
        <f ca="1">+S12-S11</f>
        <v>-31.716133942161342</v>
      </c>
    </row>
    <row r="17" spans="1:19" x14ac:dyDescent="0.2">
      <c r="A17" s="47" t="s">
        <v>51</v>
      </c>
      <c r="B17" s="48">
        <f>+B12/365</f>
        <v>4.1095890410958902E-2</v>
      </c>
      <c r="C17" s="4"/>
      <c r="D17" s="18">
        <f t="shared" si="8"/>
        <v>49613</v>
      </c>
      <c r="E17" s="23">
        <f t="shared" si="1"/>
        <v>0</v>
      </c>
      <c r="F17" s="23">
        <f t="shared" si="2"/>
        <v>0</v>
      </c>
      <c r="G17" s="23">
        <f t="shared" si="0"/>
        <v>0</v>
      </c>
      <c r="H17" s="24">
        <f t="shared" si="3"/>
        <v>4733</v>
      </c>
      <c r="I17" s="25">
        <f t="shared" si="9"/>
        <v>12.967123287671233</v>
      </c>
      <c r="J17" s="26">
        <f t="shared" si="6"/>
        <v>0.69626099405522734</v>
      </c>
      <c r="K17" s="27">
        <f t="shared" si="7"/>
        <v>0</v>
      </c>
      <c r="L17" s="25">
        <f t="shared" si="4"/>
        <v>0</v>
      </c>
      <c r="M17" s="25">
        <f t="shared" si="5"/>
        <v>0</v>
      </c>
      <c r="O17" s="43" t="s">
        <v>4</v>
      </c>
      <c r="P17" s="49">
        <v>1000000</v>
      </c>
      <c r="R17" s="46" t="str">
        <f ca="1">IF(S16&gt;0%,"Carry Positivo","Carry Negativo")</f>
        <v>Carry Negativo</v>
      </c>
      <c r="S17" s="287"/>
    </row>
    <row r="18" spans="1:19" x14ac:dyDescent="0.2">
      <c r="C18" s="4"/>
      <c r="D18" s="18">
        <f t="shared" si="8"/>
        <v>49979</v>
      </c>
      <c r="E18" s="23">
        <f t="shared" si="1"/>
        <v>0</v>
      </c>
      <c r="F18" s="23">
        <f t="shared" si="2"/>
        <v>0</v>
      </c>
      <c r="G18" s="23">
        <f t="shared" si="0"/>
        <v>0</v>
      </c>
      <c r="H18" s="24">
        <f t="shared" si="3"/>
        <v>5099</v>
      </c>
      <c r="I18" s="25">
        <f t="shared" si="9"/>
        <v>13.931693989071038</v>
      </c>
      <c r="J18" s="26">
        <f t="shared" si="6"/>
        <v>0.67776092948536237</v>
      </c>
      <c r="K18" s="27">
        <f t="shared" si="7"/>
        <v>0</v>
      </c>
      <c r="L18" s="25">
        <f t="shared" si="4"/>
        <v>0</v>
      </c>
      <c r="M18" s="25">
        <f t="shared" si="5"/>
        <v>0</v>
      </c>
      <c r="O18" s="43" t="s">
        <v>11</v>
      </c>
      <c r="P18" s="49">
        <f ca="1">P17*P16</f>
        <v>1006748.8356164383</v>
      </c>
    </row>
    <row r="19" spans="1:19" x14ac:dyDescent="0.2">
      <c r="A19" s="281" t="s">
        <v>58</v>
      </c>
      <c r="B19" s="282"/>
      <c r="C19" s="4"/>
      <c r="D19" s="18">
        <f t="shared" si="8"/>
        <v>50344</v>
      </c>
      <c r="E19" s="23">
        <f t="shared" si="1"/>
        <v>0</v>
      </c>
      <c r="F19" s="23">
        <f t="shared" si="2"/>
        <v>0</v>
      </c>
      <c r="G19" s="23">
        <f t="shared" si="0"/>
        <v>0</v>
      </c>
      <c r="H19" s="24">
        <f t="shared" si="3"/>
        <v>5464</v>
      </c>
      <c r="I19" s="25">
        <f t="shared" si="9"/>
        <v>14.96986301369863</v>
      </c>
      <c r="J19" s="26">
        <f t="shared" si="6"/>
        <v>0.658398154723288</v>
      </c>
      <c r="K19" s="27">
        <f t="shared" si="7"/>
        <v>0</v>
      </c>
      <c r="L19" s="25">
        <f t="shared" si="4"/>
        <v>0</v>
      </c>
      <c r="M19" s="25">
        <f t="shared" si="5"/>
        <v>0</v>
      </c>
      <c r="P19" s="50"/>
    </row>
    <row r="20" spans="1:19" x14ac:dyDescent="0.2">
      <c r="A20" s="51" t="s">
        <v>3</v>
      </c>
      <c r="B20" s="52">
        <f>XIRR(G4:G54,D4:D54)</f>
        <v>2.8312513232231138E-2</v>
      </c>
      <c r="C20" s="4"/>
      <c r="D20" s="18">
        <f t="shared" si="8"/>
        <v>50709</v>
      </c>
      <c r="E20" s="23">
        <f t="shared" si="1"/>
        <v>0</v>
      </c>
      <c r="F20" s="23">
        <f t="shared" si="2"/>
        <v>0</v>
      </c>
      <c r="G20" s="23">
        <f t="shared" si="0"/>
        <v>0</v>
      </c>
      <c r="H20" s="24">
        <f t="shared" si="3"/>
        <v>5829</v>
      </c>
      <c r="I20" s="25">
        <f t="shared" si="9"/>
        <v>15.96986301369863</v>
      </c>
      <c r="J20" s="26">
        <f t="shared" si="6"/>
        <v>0.64027048805794051</v>
      </c>
      <c r="K20" s="27">
        <f t="shared" si="7"/>
        <v>0</v>
      </c>
      <c r="L20" s="25">
        <f t="shared" si="4"/>
        <v>0</v>
      </c>
      <c r="M20" s="25">
        <f t="shared" si="5"/>
        <v>0</v>
      </c>
    </row>
    <row r="21" spans="1:19" x14ac:dyDescent="0.2">
      <c r="A21" s="53" t="s">
        <v>59</v>
      </c>
      <c r="B21" s="54">
        <f>SUM(L5:L54)/B8</f>
        <v>6.828049677102924</v>
      </c>
      <c r="C21" s="4"/>
      <c r="D21" s="18">
        <f t="shared" si="8"/>
        <v>51074</v>
      </c>
      <c r="E21" s="23">
        <f t="shared" si="1"/>
        <v>0</v>
      </c>
      <c r="F21" s="23">
        <f t="shared" si="2"/>
        <v>0</v>
      </c>
      <c r="G21" s="23">
        <f t="shared" si="0"/>
        <v>0</v>
      </c>
      <c r="H21" s="24">
        <f t="shared" si="3"/>
        <v>6194</v>
      </c>
      <c r="I21" s="25">
        <f t="shared" si="9"/>
        <v>16.969863013698632</v>
      </c>
      <c r="J21" s="26">
        <f t="shared" si="6"/>
        <v>0.62264193017103131</v>
      </c>
      <c r="K21" s="27">
        <f t="shared" si="7"/>
        <v>0</v>
      </c>
      <c r="L21" s="25">
        <f t="shared" si="4"/>
        <v>0</v>
      </c>
      <c r="M21" s="25">
        <f t="shared" si="5"/>
        <v>0</v>
      </c>
      <c r="O21" s="50"/>
    </row>
    <row r="22" spans="1:19" ht="22.5" x14ac:dyDescent="0.2">
      <c r="A22" s="53" t="s">
        <v>60</v>
      </c>
      <c r="B22" s="54">
        <f>(B3-B4)/365</f>
        <v>6.9753424657534246</v>
      </c>
      <c r="D22" s="18">
        <f t="shared" si="8"/>
        <v>51440</v>
      </c>
      <c r="E22" s="23">
        <f t="shared" si="1"/>
        <v>0</v>
      </c>
      <c r="F22" s="23">
        <f t="shared" si="2"/>
        <v>0</v>
      </c>
      <c r="G22" s="23">
        <f t="shared" si="0"/>
        <v>0</v>
      </c>
      <c r="H22" s="24">
        <f t="shared" si="3"/>
        <v>6560</v>
      </c>
      <c r="I22" s="25">
        <f t="shared" si="9"/>
        <v>17.923497267759561</v>
      </c>
      <c r="J22" s="26">
        <f t="shared" si="6"/>
        <v>0.60628305926532056</v>
      </c>
      <c r="K22" s="27">
        <f t="shared" si="7"/>
        <v>0</v>
      </c>
      <c r="L22" s="25">
        <f t="shared" si="4"/>
        <v>0</v>
      </c>
      <c r="M22" s="25">
        <f t="shared" si="5"/>
        <v>0</v>
      </c>
      <c r="O22" s="114"/>
    </row>
    <row r="23" spans="1:19" x14ac:dyDescent="0.2">
      <c r="A23" s="53" t="s">
        <v>61</v>
      </c>
      <c r="B23" s="55">
        <f>+B21/(1+B20)</f>
        <v>6.6400530862361462</v>
      </c>
      <c r="D23" s="18">
        <f t="shared" si="8"/>
        <v>51805</v>
      </c>
      <c r="E23" s="23">
        <f t="shared" si="1"/>
        <v>0</v>
      </c>
      <c r="F23" s="23">
        <f t="shared" si="2"/>
        <v>0</v>
      </c>
      <c r="G23" s="23">
        <f t="shared" si="0"/>
        <v>0</v>
      </c>
      <c r="H23" s="24">
        <f t="shared" si="3"/>
        <v>6925</v>
      </c>
      <c r="I23" s="25">
        <f t="shared" si="9"/>
        <v>18.972602739726028</v>
      </c>
      <c r="J23" s="26">
        <f t="shared" si="6"/>
        <v>0.58878251313534946</v>
      </c>
      <c r="K23" s="27">
        <f t="shared" si="7"/>
        <v>0</v>
      </c>
      <c r="L23" s="25">
        <f t="shared" si="4"/>
        <v>0</v>
      </c>
      <c r="M23" s="25">
        <f t="shared" si="5"/>
        <v>0</v>
      </c>
    </row>
    <row r="24" spans="1:19" x14ac:dyDescent="0.2">
      <c r="A24" s="53" t="s">
        <v>62</v>
      </c>
      <c r="B24" s="56">
        <f>+B23*B8/100</f>
        <v>5.7167973652180422</v>
      </c>
      <c r="D24" s="18">
        <f t="shared" si="8"/>
        <v>52170</v>
      </c>
      <c r="E24" s="23">
        <f t="shared" si="1"/>
        <v>0</v>
      </c>
      <c r="F24" s="23">
        <f t="shared" si="2"/>
        <v>0</v>
      </c>
      <c r="G24" s="23">
        <f t="shared" si="0"/>
        <v>0</v>
      </c>
      <c r="H24" s="24">
        <f t="shared" si="3"/>
        <v>7290</v>
      </c>
      <c r="I24" s="25">
        <f t="shared" si="9"/>
        <v>19.972602739726028</v>
      </c>
      <c r="J24" s="26">
        <f t="shared" si="6"/>
        <v>0.57257157290118521</v>
      </c>
      <c r="K24" s="27">
        <f t="shared" si="7"/>
        <v>0</v>
      </c>
      <c r="L24" s="25">
        <f t="shared" si="4"/>
        <v>0</v>
      </c>
      <c r="M24" s="25">
        <f t="shared" si="5"/>
        <v>0</v>
      </c>
    </row>
    <row r="25" spans="1:19" x14ac:dyDescent="0.2">
      <c r="A25" s="57" t="s">
        <v>63</v>
      </c>
      <c r="B25" s="58">
        <f>(0.5)*(SUM(M5:M54)/(B8))*(0.01)^2*(B8)</f>
        <v>0.21996110227208129</v>
      </c>
      <c r="C25" s="59"/>
      <c r="D25" s="18">
        <f t="shared" si="8"/>
        <v>52535</v>
      </c>
      <c r="E25" s="23">
        <f t="shared" si="1"/>
        <v>0</v>
      </c>
      <c r="F25" s="23">
        <f t="shared" si="2"/>
        <v>0</v>
      </c>
      <c r="G25" s="23">
        <f t="shared" si="0"/>
        <v>0</v>
      </c>
      <c r="H25" s="24">
        <f t="shared" si="3"/>
        <v>7655</v>
      </c>
      <c r="I25" s="25">
        <f t="shared" si="9"/>
        <v>20.972602739726028</v>
      </c>
      <c r="J25" s="26">
        <f t="shared" si="6"/>
        <v>0.55680696824495168</v>
      </c>
      <c r="K25" s="27">
        <f t="shared" si="7"/>
        <v>0</v>
      </c>
      <c r="L25" s="25">
        <f t="shared" si="4"/>
        <v>0</v>
      </c>
      <c r="M25" s="25">
        <f t="shared" si="5"/>
        <v>0</v>
      </c>
    </row>
    <row r="26" spans="1:19" x14ac:dyDescent="0.2">
      <c r="A26" s="57" t="s">
        <v>64</v>
      </c>
      <c r="B26" s="58">
        <f>+B25+B24</f>
        <v>5.9367584674901233</v>
      </c>
      <c r="D26" s="18">
        <f t="shared" si="8"/>
        <v>52901</v>
      </c>
      <c r="E26" s="23">
        <f t="shared" si="1"/>
        <v>0</v>
      </c>
      <c r="F26" s="23">
        <f t="shared" si="2"/>
        <v>0</v>
      </c>
      <c r="G26" s="23">
        <f t="shared" si="0"/>
        <v>0</v>
      </c>
      <c r="H26" s="24">
        <f t="shared" si="3"/>
        <v>8021</v>
      </c>
      <c r="I26" s="25">
        <f t="shared" si="9"/>
        <v>21.915300546448087</v>
      </c>
      <c r="J26" s="25">
        <f t="shared" si="6"/>
        <v>0.54234337206664673</v>
      </c>
      <c r="K26" s="27">
        <f t="shared" si="7"/>
        <v>0</v>
      </c>
      <c r="L26" s="25">
        <f t="shared" si="4"/>
        <v>0</v>
      </c>
      <c r="M26" s="25">
        <f t="shared" si="5"/>
        <v>0</v>
      </c>
    </row>
    <row r="27" spans="1:19" x14ac:dyDescent="0.2">
      <c r="A27" s="53" t="s">
        <v>65</v>
      </c>
      <c r="B27" s="60">
        <f>+(B24/10000)*1000</f>
        <v>0.57167973652180426</v>
      </c>
      <c r="D27" s="18">
        <f t="shared" si="8"/>
        <v>53266</v>
      </c>
      <c r="E27" s="23">
        <f t="shared" si="1"/>
        <v>0</v>
      </c>
      <c r="F27" s="23">
        <f t="shared" si="2"/>
        <v>0</v>
      </c>
      <c r="G27" s="23">
        <f t="shared" si="0"/>
        <v>0</v>
      </c>
      <c r="H27" s="24">
        <f t="shared" si="3"/>
        <v>8386</v>
      </c>
      <c r="I27" s="25">
        <f t="shared" si="9"/>
        <v>22.975342465753425</v>
      </c>
      <c r="J27" s="25">
        <f t="shared" si="6"/>
        <v>0.52652767217987484</v>
      </c>
      <c r="K27" s="27">
        <f t="shared" si="7"/>
        <v>0</v>
      </c>
      <c r="L27" s="25">
        <f t="shared" si="4"/>
        <v>0</v>
      </c>
      <c r="M27" s="25">
        <f t="shared" si="5"/>
        <v>0</v>
      </c>
    </row>
    <row r="28" spans="1:19" x14ac:dyDescent="0.2">
      <c r="A28" s="53" t="s">
        <v>66</v>
      </c>
      <c r="B28" s="60">
        <f>+(B26/10000)*1000</f>
        <v>0.59367584674901241</v>
      </c>
      <c r="D28" s="18">
        <f t="shared" si="8"/>
        <v>53631</v>
      </c>
      <c r="E28" s="23">
        <f t="shared" si="1"/>
        <v>0</v>
      </c>
      <c r="F28" s="23">
        <f t="shared" si="2"/>
        <v>0</v>
      </c>
      <c r="G28" s="23">
        <f t="shared" si="0"/>
        <v>0</v>
      </c>
      <c r="H28" s="24">
        <f t="shared" si="3"/>
        <v>8751</v>
      </c>
      <c r="I28" s="25">
        <f t="shared" si="9"/>
        <v>23.975342465753425</v>
      </c>
      <c r="J28" s="25">
        <f t="shared" si="6"/>
        <v>0.51203079356184544</v>
      </c>
      <c r="K28" s="27">
        <f t="shared" si="7"/>
        <v>0</v>
      </c>
      <c r="L28" s="25">
        <f t="shared" si="4"/>
        <v>0</v>
      </c>
      <c r="M28" s="25">
        <f t="shared" si="5"/>
        <v>0</v>
      </c>
    </row>
    <row r="29" spans="1:19" x14ac:dyDescent="0.2">
      <c r="D29" s="18">
        <f t="shared" si="8"/>
        <v>53996</v>
      </c>
      <c r="E29" s="23">
        <f t="shared" si="1"/>
        <v>0</v>
      </c>
      <c r="F29" s="23">
        <f t="shared" si="2"/>
        <v>0</v>
      </c>
      <c r="G29" s="23">
        <f t="shared" si="0"/>
        <v>0</v>
      </c>
      <c r="H29" s="24">
        <f t="shared" si="3"/>
        <v>9116</v>
      </c>
      <c r="I29" s="25">
        <f t="shared" si="9"/>
        <v>24.975342465753425</v>
      </c>
      <c r="J29" s="25">
        <f t="shared" si="6"/>
        <v>0.49793305728859671</v>
      </c>
      <c r="K29" s="27">
        <f t="shared" si="7"/>
        <v>0</v>
      </c>
      <c r="L29" s="25">
        <f t="shared" si="4"/>
        <v>0</v>
      </c>
      <c r="M29" s="25">
        <f t="shared" si="5"/>
        <v>0</v>
      </c>
    </row>
    <row r="30" spans="1:19" x14ac:dyDescent="0.2">
      <c r="D30" s="18">
        <f t="shared" si="8"/>
        <v>54362</v>
      </c>
      <c r="E30" s="23">
        <f t="shared" si="1"/>
        <v>0</v>
      </c>
      <c r="F30" s="23">
        <f t="shared" si="2"/>
        <v>0</v>
      </c>
      <c r="G30" s="23">
        <f t="shared" si="0"/>
        <v>0</v>
      </c>
      <c r="H30" s="24">
        <f t="shared" si="3"/>
        <v>9482</v>
      </c>
      <c r="I30" s="25">
        <f t="shared" si="9"/>
        <v>25.907103825136613</v>
      </c>
      <c r="J30" s="25">
        <f t="shared" si="6"/>
        <v>0.48514687773240539</v>
      </c>
      <c r="K30" s="27">
        <f t="shared" si="7"/>
        <v>0</v>
      </c>
      <c r="L30" s="25">
        <f t="shared" si="4"/>
        <v>0</v>
      </c>
      <c r="M30" s="25">
        <f t="shared" si="5"/>
        <v>0</v>
      </c>
    </row>
    <row r="31" spans="1:19" x14ac:dyDescent="0.2">
      <c r="D31" s="18">
        <f t="shared" si="8"/>
        <v>54727</v>
      </c>
      <c r="E31" s="23">
        <f t="shared" si="1"/>
        <v>0</v>
      </c>
      <c r="F31" s="23">
        <f t="shared" si="2"/>
        <v>0</v>
      </c>
      <c r="G31" s="23">
        <f t="shared" si="0"/>
        <v>0</v>
      </c>
      <c r="H31" s="24">
        <f t="shared" si="3"/>
        <v>9847</v>
      </c>
      <c r="I31" s="25">
        <f t="shared" si="9"/>
        <v>26.978082191780821</v>
      </c>
      <c r="J31" s="25">
        <f t="shared" si="6"/>
        <v>0.47085533857801209</v>
      </c>
      <c r="K31" s="27">
        <f t="shared" si="7"/>
        <v>0</v>
      </c>
      <c r="L31" s="25">
        <f t="shared" si="4"/>
        <v>0</v>
      </c>
      <c r="M31" s="25">
        <f t="shared" si="5"/>
        <v>0</v>
      </c>
    </row>
    <row r="32" spans="1:19" x14ac:dyDescent="0.2">
      <c r="D32" s="18">
        <f t="shared" si="8"/>
        <v>55092</v>
      </c>
      <c r="E32" s="23">
        <f t="shared" si="1"/>
        <v>0</v>
      </c>
      <c r="F32" s="23">
        <f t="shared" si="2"/>
        <v>0</v>
      </c>
      <c r="G32" s="23">
        <f t="shared" si="0"/>
        <v>0</v>
      </c>
      <c r="H32" s="24">
        <f t="shared" si="3"/>
        <v>10212</v>
      </c>
      <c r="I32" s="25">
        <f t="shared" si="9"/>
        <v>27.978082191780821</v>
      </c>
      <c r="J32" s="25">
        <f t="shared" si="6"/>
        <v>0.4578912854984149</v>
      </c>
      <c r="K32" s="27">
        <f t="shared" si="7"/>
        <v>0</v>
      </c>
      <c r="L32" s="25">
        <f t="shared" si="4"/>
        <v>0</v>
      </c>
      <c r="M32" s="25">
        <f t="shared" si="5"/>
        <v>0</v>
      </c>
    </row>
    <row r="33" spans="4:13" x14ac:dyDescent="0.2">
      <c r="D33" s="18">
        <f t="shared" si="8"/>
        <v>55457</v>
      </c>
      <c r="E33" s="23">
        <f t="shared" si="1"/>
        <v>0</v>
      </c>
      <c r="F33" s="23">
        <f t="shared" si="2"/>
        <v>0</v>
      </c>
      <c r="G33" s="23">
        <f t="shared" si="0"/>
        <v>0</v>
      </c>
      <c r="H33" s="24">
        <f t="shared" si="3"/>
        <v>10577</v>
      </c>
      <c r="I33" s="25">
        <f t="shared" si="9"/>
        <v>28.978082191780821</v>
      </c>
      <c r="J33" s="25">
        <f t="shared" si="6"/>
        <v>0.44528417150069832</v>
      </c>
      <c r="K33" s="27">
        <f t="shared" si="7"/>
        <v>0</v>
      </c>
      <c r="L33" s="25">
        <f t="shared" si="4"/>
        <v>0</v>
      </c>
      <c r="M33" s="25">
        <f t="shared" si="5"/>
        <v>0</v>
      </c>
    </row>
    <row r="34" spans="4:13" x14ac:dyDescent="0.2">
      <c r="D34" s="18">
        <f t="shared" si="8"/>
        <v>55823</v>
      </c>
      <c r="E34" s="23">
        <f t="shared" si="1"/>
        <v>0</v>
      </c>
      <c r="F34" s="23">
        <f t="shared" si="2"/>
        <v>0</v>
      </c>
      <c r="G34" s="23">
        <f t="shared" si="0"/>
        <v>0</v>
      </c>
      <c r="H34" s="24">
        <f t="shared" si="3"/>
        <v>10943</v>
      </c>
      <c r="I34" s="25">
        <f t="shared" si="9"/>
        <v>29.898907103825138</v>
      </c>
      <c r="J34" s="25">
        <f t="shared" si="6"/>
        <v>0.43398242717821578</v>
      </c>
      <c r="K34" s="27">
        <f t="shared" si="7"/>
        <v>0</v>
      </c>
      <c r="L34" s="25">
        <f t="shared" si="4"/>
        <v>0</v>
      </c>
      <c r="M34" s="25">
        <f t="shared" si="5"/>
        <v>0</v>
      </c>
    </row>
    <row r="35" spans="4:13" x14ac:dyDescent="0.2">
      <c r="D35" s="18">
        <f t="shared" si="8"/>
        <v>56188</v>
      </c>
      <c r="E35" s="23">
        <f t="shared" si="1"/>
        <v>0</v>
      </c>
      <c r="F35" s="23">
        <f t="shared" si="2"/>
        <v>0</v>
      </c>
      <c r="G35" s="23">
        <f t="shared" si="0"/>
        <v>0</v>
      </c>
      <c r="H35" s="24">
        <f t="shared" si="3"/>
        <v>11308</v>
      </c>
      <c r="I35" s="25">
        <f t="shared" si="9"/>
        <v>30.980821917808218</v>
      </c>
      <c r="J35" s="25">
        <f t="shared" si="6"/>
        <v>0.4210695117875487</v>
      </c>
      <c r="K35" s="27">
        <f t="shared" si="7"/>
        <v>0</v>
      </c>
      <c r="L35" s="25">
        <f t="shared" si="4"/>
        <v>0</v>
      </c>
      <c r="M35" s="25">
        <f t="shared" si="5"/>
        <v>0</v>
      </c>
    </row>
    <row r="36" spans="4:13" x14ac:dyDescent="0.2">
      <c r="D36" s="18">
        <f t="shared" si="8"/>
        <v>56553</v>
      </c>
      <c r="E36" s="23">
        <f t="shared" si="1"/>
        <v>0</v>
      </c>
      <c r="F36" s="23">
        <f t="shared" si="2"/>
        <v>0</v>
      </c>
      <c r="G36" s="23">
        <f t="shared" si="0"/>
        <v>0</v>
      </c>
      <c r="H36" s="24">
        <f t="shared" si="3"/>
        <v>11673</v>
      </c>
      <c r="I36" s="25">
        <f t="shared" si="9"/>
        <v>31.980821917808218</v>
      </c>
      <c r="J36" s="25">
        <f t="shared" si="6"/>
        <v>0.40947621114132599</v>
      </c>
      <c r="K36" s="27">
        <f t="shared" si="7"/>
        <v>0</v>
      </c>
      <c r="L36" s="25">
        <f t="shared" si="4"/>
        <v>0</v>
      </c>
      <c r="M36" s="25">
        <f t="shared" si="5"/>
        <v>0</v>
      </c>
    </row>
    <row r="37" spans="4:13" x14ac:dyDescent="0.2">
      <c r="D37" s="18">
        <f t="shared" si="8"/>
        <v>56918</v>
      </c>
      <c r="E37" s="23">
        <f t="shared" si="1"/>
        <v>0</v>
      </c>
      <c r="F37" s="23">
        <f t="shared" si="2"/>
        <v>0</v>
      </c>
      <c r="G37" s="23">
        <f t="shared" si="0"/>
        <v>0</v>
      </c>
      <c r="H37" s="24">
        <f t="shared" si="3"/>
        <v>12038</v>
      </c>
      <c r="I37" s="25">
        <f t="shared" si="9"/>
        <v>32.980821917808221</v>
      </c>
      <c r="J37" s="25">
        <f t="shared" si="6"/>
        <v>0.3982021086704905</v>
      </c>
      <c r="K37" s="27">
        <f t="shared" si="7"/>
        <v>0</v>
      </c>
      <c r="L37" s="25">
        <f t="shared" si="4"/>
        <v>0</v>
      </c>
      <c r="M37" s="25">
        <f t="shared" si="5"/>
        <v>0</v>
      </c>
    </row>
    <row r="38" spans="4:13" x14ac:dyDescent="0.2">
      <c r="D38" s="18">
        <f t="shared" si="8"/>
        <v>57284</v>
      </c>
      <c r="E38" s="23">
        <f t="shared" si="1"/>
        <v>0</v>
      </c>
      <c r="F38" s="23">
        <f t="shared" si="2"/>
        <v>0</v>
      </c>
      <c r="G38" s="23">
        <f t="shared" si="0"/>
        <v>0</v>
      </c>
      <c r="H38" s="24">
        <f t="shared" si="3"/>
        <v>12404</v>
      </c>
      <c r="I38" s="25">
        <f t="shared" si="9"/>
        <v>33.89071038251366</v>
      </c>
      <c r="J38" s="25">
        <f t="shared" si="6"/>
        <v>0.38821387036397531</v>
      </c>
      <c r="K38" s="27">
        <f t="shared" si="7"/>
        <v>0</v>
      </c>
      <c r="L38" s="25">
        <f t="shared" si="4"/>
        <v>0</v>
      </c>
      <c r="M38" s="25">
        <f t="shared" si="5"/>
        <v>0</v>
      </c>
    </row>
    <row r="39" spans="4:13" x14ac:dyDescent="0.2">
      <c r="D39" s="18">
        <f t="shared" si="8"/>
        <v>57649</v>
      </c>
      <c r="E39" s="23">
        <f t="shared" si="1"/>
        <v>0</v>
      </c>
      <c r="F39" s="23">
        <f t="shared" si="2"/>
        <v>0</v>
      </c>
      <c r="G39" s="23">
        <f t="shared" si="0"/>
        <v>0</v>
      </c>
      <c r="H39" s="24">
        <f t="shared" si="3"/>
        <v>12769</v>
      </c>
      <c r="I39" s="25">
        <f t="shared" si="9"/>
        <v>34.983561643835614</v>
      </c>
      <c r="J39" s="25">
        <f t="shared" si="6"/>
        <v>0.37654778279131551</v>
      </c>
      <c r="K39" s="27">
        <f t="shared" si="7"/>
        <v>0</v>
      </c>
      <c r="L39" s="25">
        <f t="shared" si="4"/>
        <v>0</v>
      </c>
      <c r="M39" s="25">
        <f t="shared" si="5"/>
        <v>0</v>
      </c>
    </row>
    <row r="40" spans="4:13" x14ac:dyDescent="0.2">
      <c r="D40" s="18">
        <f t="shared" si="8"/>
        <v>58014</v>
      </c>
      <c r="E40" s="23">
        <f t="shared" si="1"/>
        <v>0</v>
      </c>
      <c r="F40" s="23">
        <f t="shared" si="2"/>
        <v>0</v>
      </c>
      <c r="G40" s="23">
        <f t="shared" si="0"/>
        <v>0</v>
      </c>
      <c r="H40" s="24">
        <f t="shared" si="3"/>
        <v>13134</v>
      </c>
      <c r="I40" s="25">
        <f t="shared" si="9"/>
        <v>35.983561643835614</v>
      </c>
      <c r="J40" s="25">
        <f t="shared" si="6"/>
        <v>0.36618029825168236</v>
      </c>
      <c r="K40" s="27">
        <f t="shared" si="7"/>
        <v>0</v>
      </c>
      <c r="L40" s="25">
        <f t="shared" si="4"/>
        <v>0</v>
      </c>
      <c r="M40" s="25">
        <f t="shared" si="5"/>
        <v>0</v>
      </c>
    </row>
    <row r="41" spans="4:13" x14ac:dyDescent="0.2">
      <c r="D41" s="18">
        <f t="shared" si="8"/>
        <v>58379</v>
      </c>
      <c r="E41" s="23">
        <f t="shared" si="1"/>
        <v>0</v>
      </c>
      <c r="F41" s="23">
        <f t="shared" si="2"/>
        <v>0</v>
      </c>
      <c r="G41" s="23">
        <f t="shared" si="0"/>
        <v>0</v>
      </c>
      <c r="H41" s="24">
        <f t="shared" si="3"/>
        <v>13499</v>
      </c>
      <c r="I41" s="25">
        <f t="shared" si="9"/>
        <v>36.983561643835614</v>
      </c>
      <c r="J41" s="25">
        <f t="shared" si="6"/>
        <v>0.35609826151068663</v>
      </c>
      <c r="K41" s="27">
        <f t="shared" si="7"/>
        <v>0</v>
      </c>
      <c r="L41" s="25">
        <f t="shared" si="4"/>
        <v>0</v>
      </c>
      <c r="M41" s="25">
        <f t="shared" si="5"/>
        <v>0</v>
      </c>
    </row>
    <row r="42" spans="4:13" x14ac:dyDescent="0.2">
      <c r="D42" s="18">
        <f t="shared" si="8"/>
        <v>58745</v>
      </c>
      <c r="E42" s="23">
        <f t="shared" si="1"/>
        <v>0</v>
      </c>
      <c r="F42" s="23">
        <f t="shared" si="2"/>
        <v>0</v>
      </c>
      <c r="G42" s="23">
        <f t="shared" si="0"/>
        <v>0</v>
      </c>
      <c r="H42" s="24">
        <f t="shared" si="3"/>
        <v>13865</v>
      </c>
      <c r="I42" s="25">
        <f t="shared" si="9"/>
        <v>37.882513661202189</v>
      </c>
      <c r="J42" s="25">
        <f t="shared" si="6"/>
        <v>0.34727214676157386</v>
      </c>
      <c r="K42" s="27">
        <f t="shared" si="7"/>
        <v>0</v>
      </c>
      <c r="L42" s="25">
        <f t="shared" si="4"/>
        <v>0</v>
      </c>
      <c r="M42" s="25">
        <f t="shared" si="5"/>
        <v>0</v>
      </c>
    </row>
    <row r="43" spans="4:13" x14ac:dyDescent="0.2">
      <c r="D43" s="18">
        <f t="shared" si="8"/>
        <v>59110</v>
      </c>
      <c r="E43" s="23">
        <f t="shared" si="1"/>
        <v>0</v>
      </c>
      <c r="F43" s="23">
        <f t="shared" si="2"/>
        <v>0</v>
      </c>
      <c r="G43" s="23">
        <f t="shared" si="0"/>
        <v>0</v>
      </c>
      <c r="H43" s="24">
        <f t="shared" si="3"/>
        <v>14230</v>
      </c>
      <c r="I43" s="25">
        <f t="shared" si="9"/>
        <v>38.986301369863014</v>
      </c>
      <c r="J43" s="25">
        <f t="shared" si="6"/>
        <v>0.33673355290704393</v>
      </c>
      <c r="K43" s="27">
        <f t="shared" si="7"/>
        <v>0</v>
      </c>
      <c r="L43" s="25">
        <f t="shared" si="4"/>
        <v>0</v>
      </c>
      <c r="M43" s="25">
        <f t="shared" si="5"/>
        <v>0</v>
      </c>
    </row>
    <row r="44" spans="4:13" x14ac:dyDescent="0.2">
      <c r="D44" s="18">
        <f t="shared" si="8"/>
        <v>59475</v>
      </c>
      <c r="E44" s="23">
        <f t="shared" si="1"/>
        <v>0</v>
      </c>
      <c r="F44" s="23">
        <f t="shared" si="2"/>
        <v>0</v>
      </c>
      <c r="G44" s="23">
        <f t="shared" si="0"/>
        <v>0</v>
      </c>
      <c r="H44" s="24">
        <f t="shared" si="3"/>
        <v>14595</v>
      </c>
      <c r="I44" s="25">
        <f t="shared" si="9"/>
        <v>39.986301369863014</v>
      </c>
      <c r="J44" s="25">
        <f t="shared" si="6"/>
        <v>0.32746227297050995</v>
      </c>
      <c r="K44" s="27">
        <f t="shared" si="7"/>
        <v>0</v>
      </c>
      <c r="L44" s="25">
        <f t="shared" si="4"/>
        <v>0</v>
      </c>
      <c r="M44" s="25">
        <f t="shared" si="5"/>
        <v>0</v>
      </c>
    </row>
    <row r="45" spans="4:13" x14ac:dyDescent="0.2">
      <c r="D45" s="18">
        <f t="shared" si="8"/>
        <v>59840</v>
      </c>
      <c r="E45" s="23">
        <f t="shared" si="1"/>
        <v>0</v>
      </c>
      <c r="F45" s="23">
        <f t="shared" si="2"/>
        <v>0</v>
      </c>
      <c r="G45" s="23">
        <f t="shared" si="0"/>
        <v>0</v>
      </c>
      <c r="H45" s="24">
        <f t="shared" si="3"/>
        <v>14960</v>
      </c>
      <c r="I45" s="25">
        <f t="shared" si="9"/>
        <v>40.986301369863014</v>
      </c>
      <c r="J45" s="25">
        <f t="shared" si="6"/>
        <v>0.31844625904747387</v>
      </c>
      <c r="K45" s="27">
        <f t="shared" si="7"/>
        <v>0</v>
      </c>
      <c r="L45" s="25">
        <f t="shared" si="4"/>
        <v>0</v>
      </c>
      <c r="M45" s="25">
        <f t="shared" si="5"/>
        <v>0</v>
      </c>
    </row>
    <row r="46" spans="4:13" x14ac:dyDescent="0.2">
      <c r="D46" s="18">
        <f t="shared" si="8"/>
        <v>60206</v>
      </c>
      <c r="E46" s="23">
        <f t="shared" si="1"/>
        <v>0</v>
      </c>
      <c r="F46" s="23">
        <f t="shared" si="2"/>
        <v>0</v>
      </c>
      <c r="G46" s="23">
        <f t="shared" si="0"/>
        <v>0</v>
      </c>
      <c r="H46" s="24">
        <f t="shared" si="3"/>
        <v>15326</v>
      </c>
      <c r="I46" s="25">
        <f t="shared" si="9"/>
        <v>41.874316939890711</v>
      </c>
      <c r="J46" s="25">
        <f t="shared" si="6"/>
        <v>0.31064820997591819</v>
      </c>
      <c r="K46" s="27">
        <f t="shared" si="7"/>
        <v>0</v>
      </c>
      <c r="L46" s="25">
        <f t="shared" si="4"/>
        <v>0</v>
      </c>
      <c r="M46" s="25">
        <f t="shared" si="5"/>
        <v>0</v>
      </c>
    </row>
    <row r="47" spans="4:13" x14ac:dyDescent="0.2">
      <c r="D47" s="18">
        <f t="shared" si="8"/>
        <v>60571</v>
      </c>
      <c r="E47" s="23">
        <f t="shared" si="1"/>
        <v>0</v>
      </c>
      <c r="F47" s="23">
        <f t="shared" si="2"/>
        <v>0</v>
      </c>
      <c r="G47" s="23">
        <f t="shared" si="0"/>
        <v>0</v>
      </c>
      <c r="H47" s="24">
        <f t="shared" si="3"/>
        <v>15691</v>
      </c>
      <c r="I47" s="25">
        <f t="shared" si="9"/>
        <v>42.989041095890414</v>
      </c>
      <c r="J47" s="25">
        <f t="shared" si="6"/>
        <v>0.30112907534033184</v>
      </c>
      <c r="K47" s="27">
        <f t="shared" si="7"/>
        <v>0</v>
      </c>
      <c r="L47" s="25">
        <f t="shared" si="4"/>
        <v>0</v>
      </c>
      <c r="M47" s="25">
        <f t="shared" si="5"/>
        <v>0</v>
      </c>
    </row>
    <row r="48" spans="4:13" x14ac:dyDescent="0.2">
      <c r="D48" s="18">
        <f t="shared" si="8"/>
        <v>60936</v>
      </c>
      <c r="E48" s="23">
        <f t="shared" si="1"/>
        <v>0</v>
      </c>
      <c r="F48" s="23">
        <f t="shared" si="2"/>
        <v>0</v>
      </c>
      <c r="G48" s="23">
        <f t="shared" si="0"/>
        <v>0</v>
      </c>
      <c r="H48" s="24">
        <f t="shared" si="3"/>
        <v>16056</v>
      </c>
      <c r="I48" s="25">
        <f t="shared" si="9"/>
        <v>43.989041095890414</v>
      </c>
      <c r="J48" s="25">
        <f t="shared" si="6"/>
        <v>0.29283809295854185</v>
      </c>
      <c r="K48" s="27">
        <f t="shared" si="7"/>
        <v>0</v>
      </c>
      <c r="L48" s="25">
        <f t="shared" si="4"/>
        <v>0</v>
      </c>
      <c r="M48" s="25">
        <f t="shared" si="5"/>
        <v>0</v>
      </c>
    </row>
    <row r="49" spans="4:19" x14ac:dyDescent="0.2">
      <c r="D49" s="18">
        <f t="shared" si="8"/>
        <v>61301</v>
      </c>
      <c r="E49" s="23">
        <f t="shared" si="1"/>
        <v>0</v>
      </c>
      <c r="F49" s="23">
        <f t="shared" si="2"/>
        <v>0</v>
      </c>
      <c r="G49" s="23">
        <f t="shared" si="0"/>
        <v>0</v>
      </c>
      <c r="H49" s="24">
        <f t="shared" si="3"/>
        <v>16421</v>
      </c>
      <c r="I49" s="25">
        <f t="shared" si="9"/>
        <v>44.989041095890414</v>
      </c>
      <c r="J49" s="25">
        <f t="shared" si="6"/>
        <v>0.28477538607216007</v>
      </c>
      <c r="K49" s="27">
        <f t="shared" si="7"/>
        <v>0</v>
      </c>
      <c r="L49" s="25">
        <f t="shared" si="4"/>
        <v>0</v>
      </c>
      <c r="M49" s="25">
        <f t="shared" si="5"/>
        <v>0</v>
      </c>
    </row>
    <row r="50" spans="4:19" x14ac:dyDescent="0.2">
      <c r="D50" s="18">
        <f t="shared" si="8"/>
        <v>61667</v>
      </c>
      <c r="E50" s="23">
        <f t="shared" si="1"/>
        <v>0</v>
      </c>
      <c r="F50" s="23">
        <f t="shared" si="2"/>
        <v>0</v>
      </c>
      <c r="G50" s="23">
        <f t="shared" si="0"/>
        <v>0</v>
      </c>
      <c r="H50" s="24">
        <f t="shared" si="3"/>
        <v>16787</v>
      </c>
      <c r="I50" s="25">
        <f t="shared" si="9"/>
        <v>45.866120218579233</v>
      </c>
      <c r="J50" s="25">
        <f t="shared" si="6"/>
        <v>0.27788669854797671</v>
      </c>
      <c r="K50" s="27">
        <f t="shared" si="7"/>
        <v>0</v>
      </c>
      <c r="L50" s="25">
        <f t="shared" si="4"/>
        <v>0</v>
      </c>
      <c r="M50" s="25">
        <f t="shared" si="5"/>
        <v>0</v>
      </c>
    </row>
    <row r="51" spans="4:19" x14ac:dyDescent="0.2">
      <c r="D51" s="18">
        <f t="shared" si="8"/>
        <v>62032</v>
      </c>
      <c r="E51" s="23">
        <f t="shared" si="1"/>
        <v>0</v>
      </c>
      <c r="F51" s="23">
        <f t="shared" si="2"/>
        <v>0</v>
      </c>
      <c r="G51" s="23">
        <f t="shared" si="0"/>
        <v>0</v>
      </c>
      <c r="H51" s="24">
        <f t="shared" si="3"/>
        <v>17152</v>
      </c>
      <c r="I51" s="25">
        <f t="shared" si="9"/>
        <v>46.991780821917807</v>
      </c>
      <c r="J51" s="25">
        <f t="shared" si="6"/>
        <v>0.2692892324880834</v>
      </c>
      <c r="K51" s="27">
        <f t="shared" si="7"/>
        <v>0</v>
      </c>
      <c r="L51" s="25">
        <f t="shared" si="4"/>
        <v>0</v>
      </c>
      <c r="M51" s="25">
        <f t="shared" si="5"/>
        <v>0</v>
      </c>
    </row>
    <row r="52" spans="4:19" x14ac:dyDescent="0.2">
      <c r="D52" s="18">
        <f t="shared" si="8"/>
        <v>62397</v>
      </c>
      <c r="E52" s="23">
        <f t="shared" si="1"/>
        <v>0</v>
      </c>
      <c r="F52" s="23">
        <f t="shared" si="2"/>
        <v>0</v>
      </c>
      <c r="G52" s="23">
        <f t="shared" si="0"/>
        <v>0</v>
      </c>
      <c r="H52" s="24">
        <f t="shared" si="3"/>
        <v>17517</v>
      </c>
      <c r="I52" s="25">
        <f t="shared" si="9"/>
        <v>47.991780821917807</v>
      </c>
      <c r="J52" s="25">
        <f t="shared" si="6"/>
        <v>0.26187489602907116</v>
      </c>
      <c r="K52" s="27">
        <f t="shared" si="7"/>
        <v>0</v>
      </c>
      <c r="L52" s="25">
        <f t="shared" si="4"/>
        <v>0</v>
      </c>
      <c r="M52" s="25">
        <f t="shared" si="5"/>
        <v>0</v>
      </c>
    </row>
    <row r="53" spans="4:19" x14ac:dyDescent="0.2">
      <c r="D53" s="18">
        <f t="shared" si="8"/>
        <v>62762</v>
      </c>
      <c r="E53" s="23">
        <f t="shared" si="1"/>
        <v>0</v>
      </c>
      <c r="F53" s="23">
        <f t="shared" si="2"/>
        <v>0</v>
      </c>
      <c r="G53" s="23">
        <f t="shared" si="0"/>
        <v>0</v>
      </c>
      <c r="H53" s="24">
        <f t="shared" si="3"/>
        <v>17882</v>
      </c>
      <c r="I53" s="25">
        <f t="shared" si="9"/>
        <v>48.991780821917807</v>
      </c>
      <c r="J53" s="25">
        <f t="shared" si="6"/>
        <v>0.25466469838622896</v>
      </c>
      <c r="K53" s="27">
        <f t="shared" si="7"/>
        <v>0</v>
      </c>
      <c r="L53" s="25">
        <f t="shared" si="4"/>
        <v>0</v>
      </c>
      <c r="M53" s="25">
        <f t="shared" si="5"/>
        <v>0</v>
      </c>
    </row>
    <row r="54" spans="4:19" x14ac:dyDescent="0.2">
      <c r="D54" s="18">
        <f t="shared" si="8"/>
        <v>63128</v>
      </c>
      <c r="E54" s="23">
        <f t="shared" si="1"/>
        <v>0</v>
      </c>
      <c r="F54" s="23">
        <f t="shared" si="2"/>
        <v>0</v>
      </c>
      <c r="G54" s="23">
        <f t="shared" si="0"/>
        <v>0</v>
      </c>
      <c r="H54" s="24">
        <f t="shared" si="3"/>
        <v>18248</v>
      </c>
      <c r="I54" s="25">
        <f t="shared" si="9"/>
        <v>49.857923497267763</v>
      </c>
      <c r="J54" s="25">
        <f t="shared" si="6"/>
        <v>0.24858027424616516</v>
      </c>
      <c r="K54" s="27">
        <f t="shared" si="7"/>
        <v>0</v>
      </c>
      <c r="L54" s="25">
        <f t="shared" si="4"/>
        <v>0</v>
      </c>
      <c r="M54" s="25">
        <f t="shared" si="5"/>
        <v>0</v>
      </c>
    </row>
    <row r="55" spans="4:19" x14ac:dyDescent="0.2">
      <c r="R55" s="8"/>
      <c r="S55" s="8"/>
    </row>
    <row r="56" spans="4:19" x14ac:dyDescent="0.2">
      <c r="R56" s="8"/>
      <c r="S56" s="8"/>
    </row>
    <row r="57" spans="4:19" x14ac:dyDescent="0.2">
      <c r="R57" s="8"/>
      <c r="S57" s="8"/>
    </row>
    <row r="58" spans="4:19" x14ac:dyDescent="0.2">
      <c r="R58" s="8"/>
      <c r="S58" s="8"/>
    </row>
    <row r="59" spans="4:19" x14ac:dyDescent="0.2">
      <c r="R59" s="8"/>
      <c r="S59" s="8"/>
    </row>
    <row r="60" spans="4:19" x14ac:dyDescent="0.2">
      <c r="R60" s="8"/>
      <c r="S60" s="8"/>
    </row>
    <row r="61" spans="4:19" x14ac:dyDescent="0.2">
      <c r="R61" s="8"/>
      <c r="S61" s="8"/>
    </row>
  </sheetData>
  <mergeCells count="7">
    <mergeCell ref="U1:W1"/>
    <mergeCell ref="A19:B19"/>
    <mergeCell ref="O1:P1"/>
    <mergeCell ref="R1:S1"/>
    <mergeCell ref="A11:B11"/>
    <mergeCell ref="S14:S15"/>
    <mergeCell ref="S16:S17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48" orientation="landscape" horizontalDpi="4294967292" verticalDpi="4294967292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Drop Down 5">
              <controlPr defaultSize="0" autoFill="0" autoLine="0" autoPict="0">
                <anchor moveWithCells="1">
                  <from>
                    <xdr:col>0</xdr:col>
                    <xdr:colOff>1247775</xdr:colOff>
                    <xdr:row>0</xdr:row>
                    <xdr:rowOff>28575</xdr:rowOff>
                  </from>
                  <to>
                    <xdr:col>1</xdr:col>
                    <xdr:colOff>1095375</xdr:colOff>
                    <xdr:row>0</xdr:row>
                    <xdr:rowOff>257175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5"/>
  <sheetViews>
    <sheetView showGridLines="0" zoomScale="183" zoomScaleNormal="100" zoomScalePageLayoutView="130" workbookViewId="0">
      <selection activeCell="B19" sqref="B19"/>
    </sheetView>
  </sheetViews>
  <sheetFormatPr baseColWidth="10" defaultColWidth="10.7109375" defaultRowHeight="14.25" x14ac:dyDescent="0.2"/>
  <cols>
    <col min="1" max="1" width="3.28515625" style="1" bestFit="1" customWidth="1"/>
    <col min="2" max="2" width="26.42578125" style="1" bestFit="1" customWidth="1"/>
    <col min="3" max="3" width="10.7109375" style="1" bestFit="1" customWidth="1"/>
    <col min="4" max="4" width="15.140625" style="1" bestFit="1" customWidth="1"/>
    <col min="5" max="5" width="9" style="1" bestFit="1" customWidth="1"/>
    <col min="6" max="6" width="9" style="1" customWidth="1"/>
    <col min="7" max="7" width="9.7109375" style="1" bestFit="1" customWidth="1"/>
    <col min="8" max="8" width="10.7109375" style="1"/>
    <col min="9" max="9" width="13.42578125" style="1" bestFit="1" customWidth="1"/>
    <col min="10" max="10" width="13.7109375" style="1" bestFit="1" customWidth="1"/>
    <col min="11" max="16384" width="10.7109375" style="1"/>
  </cols>
  <sheetData>
    <row r="1" spans="1:7" ht="15" x14ac:dyDescent="0.2">
      <c r="A1" s="61"/>
      <c r="B1" s="62" t="s">
        <v>6</v>
      </c>
      <c r="C1" s="62" t="s">
        <v>0</v>
      </c>
      <c r="D1" s="62" t="s">
        <v>5</v>
      </c>
      <c r="E1" s="62" t="s">
        <v>7</v>
      </c>
      <c r="F1" s="253" t="s">
        <v>3</v>
      </c>
    </row>
    <row r="2" spans="1:7" ht="15" x14ac:dyDescent="0.2">
      <c r="A2" s="63">
        <v>1</v>
      </c>
      <c r="B2" s="64" t="s">
        <v>188</v>
      </c>
      <c r="C2" s="276">
        <v>0</v>
      </c>
      <c r="D2" s="256">
        <v>44904</v>
      </c>
      <c r="E2" s="277">
        <v>99.909000000000006</v>
      </c>
      <c r="F2" s="278">
        <v>5.2000000000000002E-6</v>
      </c>
      <c r="G2" s="109" t="str">
        <f t="shared" ref="G2:G18" ca="1" si="0">IF(D2&lt;TODAY(),"BORRAR","OK")</f>
        <v>BORRAR</v>
      </c>
    </row>
    <row r="3" spans="1:7" ht="15" x14ac:dyDescent="0.2">
      <c r="A3" s="63">
        <v>2</v>
      </c>
      <c r="B3" s="64" t="s">
        <v>189</v>
      </c>
      <c r="C3" s="276">
        <v>0</v>
      </c>
      <c r="D3" s="256">
        <v>44995</v>
      </c>
      <c r="E3" s="277">
        <v>99.483000000000004</v>
      </c>
      <c r="F3" s="278">
        <v>1.213E-2</v>
      </c>
      <c r="G3" s="109" t="str">
        <f t="shared" ca="1" si="0"/>
        <v>OK</v>
      </c>
    </row>
    <row r="4" spans="1:7" ht="15" x14ac:dyDescent="0.2">
      <c r="A4" s="63">
        <v>3</v>
      </c>
      <c r="B4" s="64" t="s">
        <v>190</v>
      </c>
      <c r="C4" s="276">
        <v>0</v>
      </c>
      <c r="D4" s="256">
        <v>45086</v>
      </c>
      <c r="E4" s="277">
        <v>98.792999999999992</v>
      </c>
      <c r="F4" s="278">
        <v>1.7950000000000001E-2</v>
      </c>
      <c r="G4" s="109" t="str">
        <f t="shared" ca="1" si="0"/>
        <v>OK</v>
      </c>
    </row>
    <row r="5" spans="1:7" ht="15" x14ac:dyDescent="0.2">
      <c r="A5" s="63">
        <v>4</v>
      </c>
      <c r="B5" s="64" t="s">
        <v>191</v>
      </c>
      <c r="C5" s="276">
        <v>0</v>
      </c>
      <c r="D5" s="256">
        <v>45177</v>
      </c>
      <c r="E5" s="277">
        <v>98.182999999999993</v>
      </c>
      <c r="F5" s="278">
        <v>1.9820000000000001E-2</v>
      </c>
      <c r="G5" s="109" t="str">
        <f t="shared" ca="1" si="0"/>
        <v>OK</v>
      </c>
    </row>
    <row r="6" spans="1:7" ht="15" x14ac:dyDescent="0.2">
      <c r="A6" s="63">
        <v>5</v>
      </c>
      <c r="B6" s="64" t="s">
        <v>192</v>
      </c>
      <c r="C6" s="276">
        <v>0</v>
      </c>
      <c r="D6" s="256">
        <v>45443</v>
      </c>
      <c r="E6" s="277">
        <v>96.779000000000011</v>
      </c>
      <c r="F6" s="278">
        <v>2.0080000000000001E-2</v>
      </c>
      <c r="G6" s="109" t="str">
        <f t="shared" ca="1" si="0"/>
        <v>OK</v>
      </c>
    </row>
    <row r="7" spans="1:7" ht="15" x14ac:dyDescent="0.2">
      <c r="A7" s="63">
        <v>6</v>
      </c>
      <c r="B7" s="64" t="s">
        <v>193</v>
      </c>
      <c r="C7" s="276">
        <v>0</v>
      </c>
      <c r="D7" s="256">
        <v>45688</v>
      </c>
      <c r="E7" s="277">
        <v>95.222999999999999</v>
      </c>
      <c r="F7" s="278">
        <v>2.1340000000000001E-2</v>
      </c>
      <c r="G7" s="109" t="str">
        <f t="shared" ca="1" si="0"/>
        <v>OK</v>
      </c>
    </row>
    <row r="8" spans="1:7" ht="15" x14ac:dyDescent="0.2">
      <c r="A8" s="63">
        <v>7</v>
      </c>
      <c r="B8" s="64" t="s">
        <v>194</v>
      </c>
      <c r="C8" s="276">
        <v>0</v>
      </c>
      <c r="D8" s="256">
        <v>46053</v>
      </c>
      <c r="E8" s="277">
        <v>92.647999999999996</v>
      </c>
      <c r="F8" s="278">
        <v>2.324E-2</v>
      </c>
      <c r="G8" s="109" t="str">
        <f t="shared" ca="1" si="0"/>
        <v>OK</v>
      </c>
    </row>
    <row r="9" spans="1:7" ht="15" x14ac:dyDescent="0.2">
      <c r="A9" s="63">
        <v>8</v>
      </c>
      <c r="B9" s="64" t="s">
        <v>195</v>
      </c>
      <c r="C9" s="276">
        <v>8.0000000000000002E-3</v>
      </c>
      <c r="D9" s="256">
        <v>46598</v>
      </c>
      <c r="E9" s="277">
        <v>92.239000000000004</v>
      </c>
      <c r="F9" s="278">
        <v>2.5329999999999998E-2</v>
      </c>
      <c r="G9" s="109" t="str">
        <f t="shared" ca="1" si="0"/>
        <v>OK</v>
      </c>
    </row>
    <row r="10" spans="1:7" ht="15" x14ac:dyDescent="0.2">
      <c r="A10" s="63">
        <v>9</v>
      </c>
      <c r="B10" s="64" t="s">
        <v>196</v>
      </c>
      <c r="C10" s="276">
        <v>0</v>
      </c>
      <c r="D10" s="256">
        <v>46783</v>
      </c>
      <c r="E10" s="277">
        <v>87.051000000000002</v>
      </c>
      <c r="F10" s="278">
        <v>2.6419999999999999E-2</v>
      </c>
      <c r="G10" s="109" t="str">
        <f t="shared" ca="1" si="0"/>
        <v>OK</v>
      </c>
    </row>
    <row r="11" spans="1:7" ht="15" x14ac:dyDescent="0.2">
      <c r="A11" s="63">
        <v>10</v>
      </c>
      <c r="B11" s="64" t="s">
        <v>197</v>
      </c>
      <c r="C11" s="276">
        <v>6.0000000000000001E-3</v>
      </c>
      <c r="D11" s="256">
        <v>47422</v>
      </c>
      <c r="E11" s="277">
        <v>86.070999999999998</v>
      </c>
      <c r="F11" s="278">
        <v>2.8000000000000001E-2</v>
      </c>
      <c r="G11" s="109" t="str">
        <f t="shared" ca="1" si="0"/>
        <v>OK</v>
      </c>
    </row>
    <row r="12" spans="1:7" ht="15" x14ac:dyDescent="0.2">
      <c r="A12" s="63">
        <v>11</v>
      </c>
      <c r="B12" s="64" t="s">
        <v>198</v>
      </c>
      <c r="C12" s="276">
        <v>1.2500000000000001E-2</v>
      </c>
      <c r="D12" s="256">
        <v>47787</v>
      </c>
      <c r="E12" s="277">
        <v>88.043000000000006</v>
      </c>
      <c r="F12" s="278">
        <v>2.9360000000000001E-2</v>
      </c>
      <c r="G12" s="109" t="str">
        <f t="shared" ca="1" si="0"/>
        <v>OK</v>
      </c>
    </row>
    <row r="13" spans="1:7" ht="15" x14ac:dyDescent="0.2">
      <c r="A13" s="63">
        <v>12</v>
      </c>
      <c r="B13" s="64" t="s">
        <v>199</v>
      </c>
      <c r="C13" s="276">
        <v>5.0000000000000001E-3</v>
      </c>
      <c r="D13" s="256">
        <v>48152</v>
      </c>
      <c r="E13" s="277">
        <v>79.911000000000001</v>
      </c>
      <c r="F13" s="278">
        <v>3.0720000000000001E-2</v>
      </c>
      <c r="G13" s="109" t="str">
        <f t="shared" ca="1" si="0"/>
        <v>OK</v>
      </c>
    </row>
    <row r="14" spans="1:7" ht="15" x14ac:dyDescent="0.2">
      <c r="A14" s="63">
        <v>13</v>
      </c>
      <c r="B14" s="64" t="s">
        <v>200</v>
      </c>
      <c r="C14" s="276">
        <v>2.5499999999999998E-2</v>
      </c>
      <c r="D14" s="256">
        <v>48518</v>
      </c>
      <c r="E14" s="277">
        <v>94.26</v>
      </c>
      <c r="F14" s="278">
        <v>3.2259999999999997E-2</v>
      </c>
      <c r="G14" s="109" t="str">
        <f t="shared" ca="1" si="0"/>
        <v>OK</v>
      </c>
    </row>
    <row r="15" spans="1:7" ht="15" x14ac:dyDescent="0.2">
      <c r="A15" s="63">
        <v>14</v>
      </c>
      <c r="B15" s="64" t="s">
        <v>201</v>
      </c>
      <c r="C15" s="276">
        <v>8.5000000000000006E-3</v>
      </c>
      <c r="D15" s="256">
        <v>50251</v>
      </c>
      <c r="E15" s="277">
        <v>69.477000000000004</v>
      </c>
      <c r="F15" s="278">
        <v>3.5319999999999997E-2</v>
      </c>
      <c r="G15" s="109" t="str">
        <f t="shared" ca="1" si="0"/>
        <v>OK</v>
      </c>
    </row>
    <row r="16" spans="1:7" ht="15" x14ac:dyDescent="0.2">
      <c r="A16" s="63">
        <v>15</v>
      </c>
      <c r="B16" s="64" t="s">
        <v>202</v>
      </c>
      <c r="C16" s="276">
        <v>0.01</v>
      </c>
      <c r="D16" s="256">
        <v>52077</v>
      </c>
      <c r="E16" s="277">
        <v>65.075000000000003</v>
      </c>
      <c r="F16" s="278">
        <v>3.4660000000000003E-2</v>
      </c>
      <c r="G16" s="109" t="str">
        <f t="shared" ca="1" si="0"/>
        <v>OK</v>
      </c>
    </row>
    <row r="17" spans="1:7" ht="15" x14ac:dyDescent="0.2">
      <c r="A17" s="63">
        <v>16</v>
      </c>
      <c r="B17" s="64" t="s">
        <v>203</v>
      </c>
      <c r="C17" s="276">
        <v>2.9000000000000001E-2</v>
      </c>
      <c r="D17" s="256">
        <v>53631</v>
      </c>
      <c r="E17" s="277">
        <v>89.704999999999998</v>
      </c>
      <c r="F17" s="278">
        <v>3.5430000000000003E-2</v>
      </c>
      <c r="G17" s="109" t="str">
        <f t="shared" ca="1" si="0"/>
        <v>OK</v>
      </c>
    </row>
    <row r="18" spans="1:7" ht="15" x14ac:dyDescent="0.2">
      <c r="A18" s="63">
        <v>17</v>
      </c>
      <c r="B18" s="64" t="s">
        <v>204</v>
      </c>
      <c r="C18" s="276">
        <v>1.9E-2</v>
      </c>
      <c r="D18" s="256">
        <v>55823</v>
      </c>
      <c r="E18" s="277">
        <v>67.474999999999994</v>
      </c>
      <c r="F18" s="278">
        <v>3.7139999999999999E-2</v>
      </c>
      <c r="G18" s="109" t="str">
        <f t="shared" ca="1" si="0"/>
        <v>OK</v>
      </c>
    </row>
    <row r="19" spans="1:7" ht="15" x14ac:dyDescent="0.2">
      <c r="A19" s="63">
        <v>18</v>
      </c>
      <c r="B19" s="64"/>
      <c r="C19" s="254"/>
      <c r="D19" s="256"/>
      <c r="E19" s="67"/>
      <c r="F19" s="67"/>
      <c r="G19" s="109" t="str">
        <f t="shared" ref="G19:G33" ca="1" si="1">IF(D19&lt;TODAY(),"BORRAR","OK")</f>
        <v>BORRAR</v>
      </c>
    </row>
    <row r="20" spans="1:7" ht="15" x14ac:dyDescent="0.2">
      <c r="A20" s="63">
        <v>19</v>
      </c>
      <c r="B20" s="64"/>
      <c r="C20" s="254"/>
      <c r="D20" s="256"/>
      <c r="E20" s="67"/>
      <c r="F20" s="67"/>
      <c r="G20" s="109" t="str">
        <f t="shared" ca="1" si="1"/>
        <v>BORRAR</v>
      </c>
    </row>
    <row r="21" spans="1:7" ht="15" x14ac:dyDescent="0.2">
      <c r="A21" s="63">
        <v>20</v>
      </c>
      <c r="B21" s="64"/>
      <c r="C21" s="254"/>
      <c r="D21" s="256"/>
      <c r="E21" s="67"/>
      <c r="F21" s="67"/>
      <c r="G21" s="109" t="str">
        <f t="shared" ca="1" si="1"/>
        <v>BORRAR</v>
      </c>
    </row>
    <row r="22" spans="1:7" ht="15" x14ac:dyDescent="0.2">
      <c r="A22" s="63">
        <v>21</v>
      </c>
      <c r="B22" s="64"/>
      <c r="C22" s="254"/>
      <c r="D22" s="256"/>
      <c r="E22" s="67"/>
      <c r="F22" s="67"/>
      <c r="G22" s="109" t="str">
        <f t="shared" ca="1" si="1"/>
        <v>BORRAR</v>
      </c>
    </row>
    <row r="23" spans="1:7" ht="15" x14ac:dyDescent="0.2">
      <c r="A23" s="63">
        <v>22</v>
      </c>
      <c r="B23" s="64"/>
      <c r="C23" s="254"/>
      <c r="D23" s="256"/>
      <c r="E23" s="67"/>
      <c r="F23" s="67"/>
      <c r="G23" s="109" t="str">
        <f t="shared" ca="1" si="1"/>
        <v>BORRAR</v>
      </c>
    </row>
    <row r="24" spans="1:7" ht="15" x14ac:dyDescent="0.2">
      <c r="A24" s="63">
        <v>23</v>
      </c>
      <c r="B24" s="64"/>
      <c r="C24" s="254"/>
      <c r="D24" s="256"/>
      <c r="E24" s="67"/>
      <c r="F24" s="67"/>
      <c r="G24" s="109" t="str">
        <f t="shared" ca="1" si="1"/>
        <v>BORRAR</v>
      </c>
    </row>
    <row r="25" spans="1:7" ht="15" x14ac:dyDescent="0.2">
      <c r="A25" s="63">
        <v>24</v>
      </c>
      <c r="B25" s="64"/>
      <c r="C25" s="254"/>
      <c r="D25" s="256"/>
      <c r="E25" s="67"/>
      <c r="F25" s="67"/>
      <c r="G25" s="109" t="str">
        <f t="shared" ca="1" si="1"/>
        <v>BORRAR</v>
      </c>
    </row>
    <row r="26" spans="1:7" ht="15" x14ac:dyDescent="0.2">
      <c r="A26" s="63">
        <v>25</v>
      </c>
      <c r="B26" s="64"/>
      <c r="C26" s="254"/>
      <c r="D26" s="256"/>
      <c r="E26" s="67"/>
      <c r="F26" s="67"/>
      <c r="G26" s="109" t="str">
        <f t="shared" ca="1" si="1"/>
        <v>BORRAR</v>
      </c>
    </row>
    <row r="27" spans="1:7" ht="15" x14ac:dyDescent="0.2">
      <c r="A27" s="63">
        <v>26</v>
      </c>
      <c r="B27" s="64"/>
      <c r="C27" s="254"/>
      <c r="D27" s="256"/>
      <c r="E27" s="67"/>
      <c r="F27" s="67"/>
      <c r="G27" s="109" t="str">
        <f t="shared" ca="1" si="1"/>
        <v>BORRAR</v>
      </c>
    </row>
    <row r="28" spans="1:7" ht="15" x14ac:dyDescent="0.2">
      <c r="A28" s="63">
        <v>27</v>
      </c>
      <c r="B28" s="64"/>
      <c r="C28" s="254"/>
      <c r="D28" s="256"/>
      <c r="E28" s="67"/>
      <c r="F28" s="67"/>
      <c r="G28" s="109" t="str">
        <f t="shared" ca="1" si="1"/>
        <v>BORRAR</v>
      </c>
    </row>
    <row r="29" spans="1:7" ht="15" x14ac:dyDescent="0.2">
      <c r="A29" s="63">
        <v>28</v>
      </c>
      <c r="B29" s="64"/>
      <c r="C29" s="254"/>
      <c r="D29" s="256"/>
      <c r="E29" s="67"/>
      <c r="F29" s="67"/>
      <c r="G29" s="109" t="str">
        <f t="shared" ca="1" si="1"/>
        <v>BORRAR</v>
      </c>
    </row>
    <row r="30" spans="1:7" ht="15" x14ac:dyDescent="0.2">
      <c r="A30" s="63">
        <v>29</v>
      </c>
      <c r="B30" s="64"/>
      <c r="C30" s="254"/>
      <c r="D30" s="256"/>
      <c r="E30" s="67"/>
      <c r="F30" s="67"/>
      <c r="G30" s="109" t="str">
        <f t="shared" ca="1" si="1"/>
        <v>BORRAR</v>
      </c>
    </row>
    <row r="31" spans="1:7" ht="15" x14ac:dyDescent="0.2">
      <c r="A31" s="63">
        <v>30</v>
      </c>
      <c r="B31" s="64"/>
      <c r="C31" s="254"/>
      <c r="D31" s="256"/>
      <c r="E31" s="67"/>
      <c r="F31" s="67"/>
      <c r="G31" s="109" t="str">
        <f t="shared" ca="1" si="1"/>
        <v>BORRAR</v>
      </c>
    </row>
    <row r="32" spans="1:7" ht="15" x14ac:dyDescent="0.2">
      <c r="A32" s="63">
        <v>31</v>
      </c>
      <c r="B32" s="64"/>
      <c r="C32" s="254"/>
      <c r="D32" s="256"/>
      <c r="E32" s="67"/>
      <c r="F32" s="67"/>
      <c r="G32" s="109" t="str">
        <f t="shared" ca="1" si="1"/>
        <v>BORRAR</v>
      </c>
    </row>
    <row r="33" spans="1:7" ht="15" x14ac:dyDescent="0.2">
      <c r="A33" s="63">
        <v>32</v>
      </c>
      <c r="B33" s="64"/>
      <c r="C33" s="254"/>
      <c r="D33" s="256"/>
      <c r="E33" s="67"/>
      <c r="F33" s="67"/>
      <c r="G33" s="109" t="str">
        <f t="shared" ca="1" si="1"/>
        <v>BORRAR</v>
      </c>
    </row>
    <row r="34" spans="1:7" ht="15" x14ac:dyDescent="0.2">
      <c r="A34" s="63">
        <v>33</v>
      </c>
      <c r="B34" s="64"/>
      <c r="C34" s="254"/>
      <c r="D34" s="256"/>
      <c r="E34" s="67"/>
      <c r="F34" s="67"/>
      <c r="G34" s="109" t="str">
        <f t="shared" ref="G34:G66" ca="1" si="2">IF(D34&lt;TODAY(),"BORRAR","OK")</f>
        <v>BORRAR</v>
      </c>
    </row>
    <row r="35" spans="1:7" ht="15" x14ac:dyDescent="0.2">
      <c r="A35" s="63">
        <v>34</v>
      </c>
      <c r="B35" s="64"/>
      <c r="C35" s="254"/>
      <c r="D35" s="256"/>
      <c r="E35" s="67"/>
      <c r="F35" s="67"/>
      <c r="G35" s="109" t="str">
        <f t="shared" ca="1" si="2"/>
        <v>BORRAR</v>
      </c>
    </row>
    <row r="36" spans="1:7" ht="15" x14ac:dyDescent="0.2">
      <c r="A36" s="63">
        <v>35</v>
      </c>
      <c r="B36" s="64"/>
      <c r="C36" s="254"/>
      <c r="D36" s="256"/>
      <c r="E36" s="67"/>
      <c r="F36" s="67"/>
      <c r="G36" s="109" t="str">
        <f t="shared" ca="1" si="2"/>
        <v>BORRAR</v>
      </c>
    </row>
    <row r="37" spans="1:7" ht="15" x14ac:dyDescent="0.2">
      <c r="A37" s="63">
        <v>36</v>
      </c>
      <c r="B37" s="64"/>
      <c r="C37" s="254"/>
      <c r="D37" s="256"/>
      <c r="E37" s="67"/>
      <c r="F37" s="67"/>
      <c r="G37" s="109" t="str">
        <f t="shared" ca="1" si="2"/>
        <v>BORRAR</v>
      </c>
    </row>
    <row r="38" spans="1:7" ht="15" x14ac:dyDescent="0.2">
      <c r="A38" s="63">
        <v>37</v>
      </c>
      <c r="B38" s="64"/>
      <c r="C38" s="254"/>
      <c r="D38" s="256"/>
      <c r="E38" s="67"/>
      <c r="F38" s="67"/>
      <c r="G38" s="109" t="str">
        <f t="shared" ca="1" si="2"/>
        <v>BORRAR</v>
      </c>
    </row>
    <row r="39" spans="1:7" ht="15" x14ac:dyDescent="0.2">
      <c r="A39" s="63">
        <v>38</v>
      </c>
      <c r="B39" s="64"/>
      <c r="C39" s="254"/>
      <c r="D39" s="256"/>
      <c r="E39" s="67"/>
      <c r="F39" s="67"/>
      <c r="G39" s="109" t="str">
        <f t="shared" ca="1" si="2"/>
        <v>BORRAR</v>
      </c>
    </row>
    <row r="40" spans="1:7" ht="15" x14ac:dyDescent="0.2">
      <c r="A40" s="63">
        <v>39</v>
      </c>
      <c r="B40" s="64"/>
      <c r="C40" s="254"/>
      <c r="D40" s="256"/>
      <c r="E40" s="67"/>
      <c r="F40" s="67"/>
      <c r="G40" s="109" t="str">
        <f t="shared" ca="1" si="2"/>
        <v>BORRAR</v>
      </c>
    </row>
    <row r="41" spans="1:7" ht="15" x14ac:dyDescent="0.2">
      <c r="A41" s="63">
        <v>40</v>
      </c>
      <c r="B41" s="64"/>
      <c r="C41" s="254"/>
      <c r="D41" s="256"/>
      <c r="E41" s="67"/>
      <c r="F41" s="67"/>
      <c r="G41" s="109" t="str">
        <f t="shared" ca="1" si="2"/>
        <v>BORRAR</v>
      </c>
    </row>
    <row r="42" spans="1:7" ht="15" x14ac:dyDescent="0.2">
      <c r="A42" s="63">
        <v>41</v>
      </c>
      <c r="B42" s="64"/>
      <c r="C42" s="254"/>
      <c r="D42" s="256"/>
      <c r="E42" s="67"/>
      <c r="F42" s="67"/>
      <c r="G42" s="109" t="str">
        <f t="shared" ca="1" si="2"/>
        <v>BORRAR</v>
      </c>
    </row>
    <row r="43" spans="1:7" ht="15" x14ac:dyDescent="0.2">
      <c r="A43" s="63">
        <v>42</v>
      </c>
      <c r="B43" s="64"/>
      <c r="C43" s="254"/>
      <c r="D43" s="256"/>
      <c r="E43" s="67"/>
      <c r="F43" s="67"/>
      <c r="G43" s="109" t="str">
        <f t="shared" ca="1" si="2"/>
        <v>BORRAR</v>
      </c>
    </row>
    <row r="44" spans="1:7" ht="15" x14ac:dyDescent="0.2">
      <c r="A44" s="63">
        <v>43</v>
      </c>
      <c r="B44" s="64"/>
      <c r="C44" s="254"/>
      <c r="D44" s="256"/>
      <c r="E44" s="67"/>
      <c r="F44" s="67"/>
      <c r="G44" s="109" t="str">
        <f t="shared" ca="1" si="2"/>
        <v>BORRAR</v>
      </c>
    </row>
    <row r="45" spans="1:7" ht="15" x14ac:dyDescent="0.2">
      <c r="A45" s="63">
        <v>44</v>
      </c>
      <c r="B45" s="64"/>
      <c r="C45" s="254"/>
      <c r="D45" s="256"/>
      <c r="E45" s="67"/>
      <c r="F45" s="67"/>
      <c r="G45" s="109" t="str">
        <f t="shared" ca="1" si="2"/>
        <v>BORRAR</v>
      </c>
    </row>
    <row r="46" spans="1:7" ht="15" x14ac:dyDescent="0.2">
      <c r="A46" s="63">
        <v>45</v>
      </c>
      <c r="B46" s="64"/>
      <c r="C46" s="254"/>
      <c r="D46" s="256"/>
      <c r="E46" s="67"/>
      <c r="F46" s="67"/>
      <c r="G46" s="109" t="str">
        <f t="shared" ca="1" si="2"/>
        <v>BORRAR</v>
      </c>
    </row>
    <row r="47" spans="1:7" ht="15" x14ac:dyDescent="0.2">
      <c r="A47" s="63">
        <v>46</v>
      </c>
      <c r="B47" s="64"/>
      <c r="C47" s="254"/>
      <c r="D47" s="256"/>
      <c r="E47" s="67"/>
      <c r="F47" s="67"/>
      <c r="G47" s="109" t="str">
        <f t="shared" ca="1" si="2"/>
        <v>BORRAR</v>
      </c>
    </row>
    <row r="48" spans="1:7" ht="15" x14ac:dyDescent="0.2">
      <c r="A48" s="63">
        <v>47</v>
      </c>
      <c r="B48" s="64"/>
      <c r="C48" s="254"/>
      <c r="D48" s="256"/>
      <c r="E48" s="67"/>
      <c r="F48" s="67"/>
      <c r="G48" s="109" t="str">
        <f t="shared" ca="1" si="2"/>
        <v>BORRAR</v>
      </c>
    </row>
    <row r="49" spans="1:7" ht="15" x14ac:dyDescent="0.2">
      <c r="A49" s="63">
        <v>48</v>
      </c>
      <c r="B49" s="64"/>
      <c r="C49" s="254"/>
      <c r="D49" s="66"/>
      <c r="E49" s="67"/>
      <c r="F49" s="67"/>
      <c r="G49" s="109" t="str">
        <f t="shared" ca="1" si="2"/>
        <v>BORRAR</v>
      </c>
    </row>
    <row r="50" spans="1:7" ht="15" x14ac:dyDescent="0.2">
      <c r="A50" s="63">
        <v>49</v>
      </c>
      <c r="B50" s="64"/>
      <c r="C50" s="254"/>
      <c r="D50" s="66"/>
      <c r="E50" s="67"/>
      <c r="F50" s="67"/>
      <c r="G50" s="109" t="str">
        <f t="shared" ca="1" si="2"/>
        <v>BORRAR</v>
      </c>
    </row>
    <row r="51" spans="1:7" ht="15" x14ac:dyDescent="0.2">
      <c r="A51" s="63">
        <v>50</v>
      </c>
      <c r="B51" s="64"/>
      <c r="C51" s="254"/>
      <c r="D51" s="66"/>
      <c r="E51" s="67"/>
      <c r="F51" s="67"/>
      <c r="G51" s="109" t="str">
        <f t="shared" ca="1" si="2"/>
        <v>BORRAR</v>
      </c>
    </row>
    <row r="52" spans="1:7" ht="15" x14ac:dyDescent="0.2">
      <c r="A52" s="63">
        <v>51</v>
      </c>
      <c r="B52" s="64"/>
      <c r="C52" s="254"/>
      <c r="D52" s="66"/>
      <c r="E52" s="67"/>
      <c r="F52" s="67"/>
      <c r="G52" s="109" t="str">
        <f t="shared" ca="1" si="2"/>
        <v>BORRAR</v>
      </c>
    </row>
    <row r="53" spans="1:7" ht="15" x14ac:dyDescent="0.2">
      <c r="A53" s="63">
        <v>52</v>
      </c>
      <c r="B53" s="64"/>
      <c r="C53" s="254"/>
      <c r="D53" s="66"/>
      <c r="E53" s="67"/>
      <c r="F53" s="67"/>
      <c r="G53" s="109" t="str">
        <f t="shared" ca="1" si="2"/>
        <v>BORRAR</v>
      </c>
    </row>
    <row r="54" spans="1:7" ht="15" x14ac:dyDescent="0.2">
      <c r="A54" s="63">
        <v>53</v>
      </c>
      <c r="B54" s="64"/>
      <c r="C54" s="65"/>
      <c r="D54" s="66"/>
      <c r="E54" s="67"/>
      <c r="F54" s="67"/>
      <c r="G54" s="109" t="str">
        <f t="shared" ca="1" si="2"/>
        <v>BORRAR</v>
      </c>
    </row>
    <row r="55" spans="1:7" ht="15" x14ac:dyDescent="0.2">
      <c r="A55" s="63">
        <v>54</v>
      </c>
      <c r="B55" s="64"/>
      <c r="C55" s="65"/>
      <c r="D55" s="66"/>
      <c r="E55" s="67"/>
      <c r="F55" s="67"/>
      <c r="G55" s="109" t="str">
        <f t="shared" ca="1" si="2"/>
        <v>BORRAR</v>
      </c>
    </row>
    <row r="56" spans="1:7" ht="15" x14ac:dyDescent="0.2">
      <c r="A56" s="63">
        <v>55</v>
      </c>
      <c r="B56" s="64"/>
      <c r="C56" s="65"/>
      <c r="D56" s="66"/>
      <c r="E56" s="67"/>
      <c r="F56" s="67"/>
      <c r="G56" s="109" t="str">
        <f t="shared" ca="1" si="2"/>
        <v>BORRAR</v>
      </c>
    </row>
    <row r="57" spans="1:7" ht="15" x14ac:dyDescent="0.2">
      <c r="A57" s="63">
        <v>56</v>
      </c>
      <c r="B57" s="64"/>
      <c r="C57" s="65"/>
      <c r="D57" s="66"/>
      <c r="E57" s="67"/>
      <c r="F57" s="67"/>
      <c r="G57" s="109" t="str">
        <f t="shared" ca="1" si="2"/>
        <v>BORRAR</v>
      </c>
    </row>
    <row r="58" spans="1:7" ht="15" x14ac:dyDescent="0.2">
      <c r="A58" s="63">
        <v>57</v>
      </c>
      <c r="B58" s="64"/>
      <c r="C58" s="65"/>
      <c r="D58" s="66"/>
      <c r="E58" s="67"/>
      <c r="F58" s="67"/>
      <c r="G58" s="109" t="str">
        <f t="shared" ca="1" si="2"/>
        <v>BORRAR</v>
      </c>
    </row>
    <row r="59" spans="1:7" ht="15" x14ac:dyDescent="0.2">
      <c r="A59" s="63">
        <v>58</v>
      </c>
      <c r="B59" s="64"/>
      <c r="C59" s="65"/>
      <c r="D59" s="66"/>
      <c r="E59" s="67"/>
      <c r="F59" s="67"/>
      <c r="G59" s="109" t="str">
        <f t="shared" ca="1" si="2"/>
        <v>BORRAR</v>
      </c>
    </row>
    <row r="60" spans="1:7" ht="15" x14ac:dyDescent="0.2">
      <c r="A60" s="63">
        <v>59</v>
      </c>
      <c r="B60" s="64"/>
      <c r="C60" s="65"/>
      <c r="D60" s="66"/>
      <c r="E60" s="67"/>
      <c r="F60" s="67"/>
      <c r="G60" s="109" t="str">
        <f t="shared" ca="1" si="2"/>
        <v>BORRAR</v>
      </c>
    </row>
    <row r="61" spans="1:7" ht="15" x14ac:dyDescent="0.2">
      <c r="A61" s="63">
        <v>60</v>
      </c>
      <c r="B61" s="64"/>
      <c r="C61" s="65"/>
      <c r="D61" s="66"/>
      <c r="E61" s="67"/>
      <c r="F61" s="67"/>
      <c r="G61" s="109" t="str">
        <f t="shared" ca="1" si="2"/>
        <v>BORRAR</v>
      </c>
    </row>
    <row r="62" spans="1:7" ht="15" x14ac:dyDescent="0.2">
      <c r="A62" s="63">
        <v>61</v>
      </c>
      <c r="B62" s="64"/>
      <c r="C62" s="65"/>
      <c r="D62" s="66"/>
      <c r="E62" s="67"/>
      <c r="F62" s="67"/>
      <c r="G62" s="109" t="str">
        <f t="shared" ca="1" si="2"/>
        <v>BORRAR</v>
      </c>
    </row>
    <row r="63" spans="1:7" ht="15" x14ac:dyDescent="0.2">
      <c r="A63" s="63">
        <v>62</v>
      </c>
      <c r="B63" s="64"/>
      <c r="C63" s="65"/>
      <c r="D63" s="66"/>
      <c r="E63" s="67"/>
      <c r="F63" s="67"/>
      <c r="G63" s="109" t="str">
        <f t="shared" ca="1" si="2"/>
        <v>BORRAR</v>
      </c>
    </row>
    <row r="64" spans="1:7" ht="15" x14ac:dyDescent="0.2">
      <c r="A64" s="63">
        <v>63</v>
      </c>
      <c r="B64" s="64"/>
      <c r="C64" s="65"/>
      <c r="D64" s="66"/>
      <c r="E64" s="67"/>
      <c r="F64" s="67"/>
      <c r="G64" s="109" t="str">
        <f t="shared" ca="1" si="2"/>
        <v>BORRAR</v>
      </c>
    </row>
    <row r="65" spans="1:7" ht="15" x14ac:dyDescent="0.2">
      <c r="A65" s="63">
        <v>64</v>
      </c>
      <c r="B65" s="64"/>
      <c r="C65" s="65"/>
      <c r="D65" s="66"/>
      <c r="E65" s="67"/>
      <c r="F65" s="67"/>
      <c r="G65" s="109" t="str">
        <f t="shared" ca="1" si="2"/>
        <v>BORRAR</v>
      </c>
    </row>
    <row r="66" spans="1:7" ht="15" x14ac:dyDescent="0.2">
      <c r="A66" s="63">
        <v>65</v>
      </c>
      <c r="B66" s="64"/>
      <c r="C66" s="65"/>
      <c r="D66" s="66"/>
      <c r="E66" s="67"/>
      <c r="F66" s="67"/>
      <c r="G66" s="109" t="str">
        <f t="shared" ca="1" si="2"/>
        <v>BORRAR</v>
      </c>
    </row>
    <row r="67" spans="1:7" ht="15" x14ac:dyDescent="0.2">
      <c r="A67" s="63">
        <v>66</v>
      </c>
      <c r="B67" s="64"/>
      <c r="C67" s="65"/>
      <c r="D67" s="66"/>
      <c r="E67" s="67"/>
      <c r="F67" s="67"/>
      <c r="G67" s="109" t="str">
        <f t="shared" ref="G67:G91" ca="1" si="3">IF(D67&lt;TODAY(),"BORRAR","OK")</f>
        <v>BORRAR</v>
      </c>
    </row>
    <row r="68" spans="1:7" ht="15" x14ac:dyDescent="0.2">
      <c r="A68" s="63">
        <v>67</v>
      </c>
      <c r="B68" s="64"/>
      <c r="C68" s="65"/>
      <c r="D68" s="66"/>
      <c r="E68" s="67"/>
      <c r="F68" s="67"/>
      <c r="G68" s="109" t="str">
        <f t="shared" ca="1" si="3"/>
        <v>BORRAR</v>
      </c>
    </row>
    <row r="69" spans="1:7" ht="15" x14ac:dyDescent="0.2">
      <c r="A69" s="63">
        <v>68</v>
      </c>
      <c r="B69" s="64"/>
      <c r="C69" s="65"/>
      <c r="D69" s="66"/>
      <c r="E69" s="67"/>
      <c r="F69" s="67"/>
      <c r="G69" s="109" t="str">
        <f t="shared" ca="1" si="3"/>
        <v>BORRAR</v>
      </c>
    </row>
    <row r="70" spans="1:7" ht="15" x14ac:dyDescent="0.2">
      <c r="A70" s="63">
        <v>69</v>
      </c>
      <c r="B70" s="64"/>
      <c r="C70" s="65"/>
      <c r="D70" s="66"/>
      <c r="E70" s="67"/>
      <c r="F70" s="67"/>
      <c r="G70" s="109" t="str">
        <f t="shared" ca="1" si="3"/>
        <v>BORRAR</v>
      </c>
    </row>
    <row r="71" spans="1:7" ht="15" x14ac:dyDescent="0.2">
      <c r="A71" s="63">
        <v>70</v>
      </c>
      <c r="B71" s="64"/>
      <c r="C71" s="65"/>
      <c r="D71" s="66"/>
      <c r="E71" s="67"/>
      <c r="F71" s="67"/>
      <c r="G71" s="109" t="str">
        <f t="shared" ca="1" si="3"/>
        <v>BORRAR</v>
      </c>
    </row>
    <row r="72" spans="1:7" ht="15" x14ac:dyDescent="0.2">
      <c r="A72" s="63">
        <v>71</v>
      </c>
      <c r="B72" s="64"/>
      <c r="C72" s="65"/>
      <c r="D72" s="66"/>
      <c r="E72" s="67"/>
      <c r="F72" s="67"/>
      <c r="G72" s="109" t="str">
        <f t="shared" ca="1" si="3"/>
        <v>BORRAR</v>
      </c>
    </row>
    <row r="73" spans="1:7" ht="15" x14ac:dyDescent="0.2">
      <c r="A73" s="63">
        <v>72</v>
      </c>
      <c r="B73" s="64"/>
      <c r="C73" s="65"/>
      <c r="D73" s="66"/>
      <c r="E73" s="67"/>
      <c r="F73" s="67"/>
      <c r="G73" s="109" t="str">
        <f t="shared" ca="1" si="3"/>
        <v>BORRAR</v>
      </c>
    </row>
    <row r="74" spans="1:7" ht="15" x14ac:dyDescent="0.2">
      <c r="A74" s="63">
        <v>73</v>
      </c>
      <c r="B74" s="64"/>
      <c r="C74" s="65"/>
      <c r="D74" s="66"/>
      <c r="E74" s="67"/>
      <c r="F74" s="67"/>
      <c r="G74" s="109" t="str">
        <f t="shared" ca="1" si="3"/>
        <v>BORRAR</v>
      </c>
    </row>
    <row r="75" spans="1:7" ht="15" x14ac:dyDescent="0.2">
      <c r="A75" s="63">
        <v>74</v>
      </c>
      <c r="B75" s="64"/>
      <c r="C75" s="65"/>
      <c r="D75" s="66"/>
      <c r="E75" s="67"/>
      <c r="F75" s="67"/>
      <c r="G75" s="109" t="str">
        <f t="shared" ca="1" si="3"/>
        <v>BORRAR</v>
      </c>
    </row>
    <row r="76" spans="1:7" ht="15" x14ac:dyDescent="0.2">
      <c r="A76" s="63">
        <v>75</v>
      </c>
      <c r="B76" s="64"/>
      <c r="C76" s="65"/>
      <c r="D76" s="66"/>
      <c r="E76" s="67"/>
      <c r="F76" s="67"/>
      <c r="G76" s="109" t="str">
        <f t="shared" ca="1" si="3"/>
        <v>BORRAR</v>
      </c>
    </row>
    <row r="77" spans="1:7" ht="15" x14ac:dyDescent="0.2">
      <c r="A77" s="63">
        <v>76</v>
      </c>
      <c r="B77" s="64"/>
      <c r="C77" s="65"/>
      <c r="D77" s="66"/>
      <c r="E77" s="67"/>
      <c r="F77" s="67"/>
      <c r="G77" s="109" t="str">
        <f t="shared" ca="1" si="3"/>
        <v>BORRAR</v>
      </c>
    </row>
    <row r="78" spans="1:7" ht="15" x14ac:dyDescent="0.2">
      <c r="A78" s="63">
        <v>77</v>
      </c>
      <c r="B78" s="64"/>
      <c r="C78" s="65"/>
      <c r="D78" s="66"/>
      <c r="E78" s="67"/>
      <c r="F78" s="67"/>
      <c r="G78" s="109" t="str">
        <f t="shared" ca="1" si="3"/>
        <v>BORRAR</v>
      </c>
    </row>
    <row r="79" spans="1:7" ht="15" x14ac:dyDescent="0.2">
      <c r="A79" s="63">
        <v>78</v>
      </c>
      <c r="B79" s="64"/>
      <c r="C79" s="65"/>
      <c r="D79" s="66"/>
      <c r="E79" s="67"/>
      <c r="F79" s="67"/>
      <c r="G79" s="109" t="str">
        <f t="shared" ca="1" si="3"/>
        <v>BORRAR</v>
      </c>
    </row>
    <row r="80" spans="1:7" ht="15" x14ac:dyDescent="0.2">
      <c r="A80" s="63">
        <v>79</v>
      </c>
      <c r="B80" s="64"/>
      <c r="C80" s="65"/>
      <c r="D80" s="66"/>
      <c r="E80" s="67"/>
      <c r="F80" s="67"/>
      <c r="G80" s="109" t="str">
        <f t="shared" ca="1" si="3"/>
        <v>BORRAR</v>
      </c>
    </row>
    <row r="81" spans="1:7" ht="15" x14ac:dyDescent="0.2">
      <c r="A81" s="63">
        <v>80</v>
      </c>
      <c r="B81" s="64"/>
      <c r="C81" s="65"/>
      <c r="D81" s="66"/>
      <c r="E81" s="67"/>
      <c r="F81" s="67"/>
      <c r="G81" s="109" t="str">
        <f t="shared" ca="1" si="3"/>
        <v>BORRAR</v>
      </c>
    </row>
    <row r="82" spans="1:7" ht="15" x14ac:dyDescent="0.2">
      <c r="A82" s="63">
        <v>81</v>
      </c>
      <c r="B82" s="64"/>
      <c r="C82" s="65"/>
      <c r="D82" s="66"/>
      <c r="E82" s="67"/>
      <c r="F82" s="67"/>
      <c r="G82" s="109" t="str">
        <f t="shared" ca="1" si="3"/>
        <v>BORRAR</v>
      </c>
    </row>
    <row r="83" spans="1:7" ht="15" x14ac:dyDescent="0.2">
      <c r="A83" s="63">
        <v>82</v>
      </c>
      <c r="B83" s="64"/>
      <c r="C83" s="65"/>
      <c r="D83" s="66"/>
      <c r="E83" s="67"/>
      <c r="F83" s="67"/>
      <c r="G83" s="109" t="str">
        <f t="shared" ca="1" si="3"/>
        <v>BORRAR</v>
      </c>
    </row>
    <row r="84" spans="1:7" ht="15" x14ac:dyDescent="0.2">
      <c r="A84" s="63">
        <v>83</v>
      </c>
      <c r="B84" s="64"/>
      <c r="C84" s="65"/>
      <c r="D84" s="66"/>
      <c r="E84" s="67"/>
      <c r="F84" s="67"/>
      <c r="G84" s="109" t="str">
        <f t="shared" ca="1" si="3"/>
        <v>BORRAR</v>
      </c>
    </row>
    <row r="85" spans="1:7" ht="15" x14ac:dyDescent="0.2">
      <c r="A85" s="63">
        <v>84</v>
      </c>
      <c r="B85" s="64"/>
      <c r="C85" s="65"/>
      <c r="D85" s="66"/>
      <c r="E85" s="67"/>
      <c r="F85" s="67"/>
      <c r="G85" s="109" t="str">
        <f t="shared" ca="1" si="3"/>
        <v>BORRAR</v>
      </c>
    </row>
    <row r="86" spans="1:7" ht="15" x14ac:dyDescent="0.2">
      <c r="A86" s="63">
        <v>85</v>
      </c>
      <c r="B86" s="64"/>
      <c r="C86" s="65"/>
      <c r="D86" s="66"/>
      <c r="E86" s="67"/>
      <c r="F86" s="67"/>
      <c r="G86" s="109" t="str">
        <f t="shared" ca="1" si="3"/>
        <v>BORRAR</v>
      </c>
    </row>
    <row r="87" spans="1:7" ht="15" x14ac:dyDescent="0.2">
      <c r="A87" s="63">
        <v>86</v>
      </c>
      <c r="B87" s="64"/>
      <c r="C87" s="65"/>
      <c r="D87" s="66"/>
      <c r="E87" s="67"/>
      <c r="F87" s="67"/>
      <c r="G87" s="109" t="str">
        <f t="shared" ca="1" si="3"/>
        <v>BORRAR</v>
      </c>
    </row>
    <row r="88" spans="1:7" ht="15" x14ac:dyDescent="0.2">
      <c r="A88" s="63">
        <v>87</v>
      </c>
      <c r="B88" s="64"/>
      <c r="C88" s="65"/>
      <c r="D88" s="66"/>
      <c r="E88" s="67"/>
      <c r="F88" s="67"/>
      <c r="G88" s="109" t="str">
        <f t="shared" ca="1" si="3"/>
        <v>BORRAR</v>
      </c>
    </row>
    <row r="89" spans="1:7" ht="15" x14ac:dyDescent="0.2">
      <c r="A89" s="63">
        <v>88</v>
      </c>
      <c r="B89" s="64"/>
      <c r="C89" s="65"/>
      <c r="D89" s="66"/>
      <c r="E89" s="67"/>
      <c r="F89" s="67"/>
      <c r="G89" s="109" t="str">
        <f t="shared" ca="1" si="3"/>
        <v>BORRAR</v>
      </c>
    </row>
    <row r="90" spans="1:7" ht="15" x14ac:dyDescent="0.2">
      <c r="A90" s="63">
        <v>89</v>
      </c>
      <c r="B90" s="64"/>
      <c r="C90" s="65"/>
      <c r="D90" s="66"/>
      <c r="E90" s="67"/>
      <c r="F90" s="67"/>
      <c r="G90" s="109" t="str">
        <f t="shared" ca="1" si="3"/>
        <v>BORRAR</v>
      </c>
    </row>
    <row r="91" spans="1:7" ht="15" x14ac:dyDescent="0.2">
      <c r="A91" s="63">
        <v>90</v>
      </c>
      <c r="B91" s="64"/>
      <c r="C91" s="65"/>
      <c r="D91" s="66"/>
      <c r="E91" s="67"/>
      <c r="F91" s="67"/>
      <c r="G91" s="109" t="str">
        <f t="shared" ca="1" si="3"/>
        <v>BORRAR</v>
      </c>
    </row>
    <row r="92" spans="1:7" ht="15" x14ac:dyDescent="0.2">
      <c r="A92" s="63">
        <v>91</v>
      </c>
      <c r="B92" s="64"/>
      <c r="C92" s="68"/>
      <c r="D92" s="66"/>
      <c r="E92" s="67"/>
      <c r="F92" s="67"/>
      <c r="G92" s="109" t="str">
        <f ca="1">IF(D92&lt;TODAY(),"BORRAR","OK")</f>
        <v>BORRAR</v>
      </c>
    </row>
    <row r="93" spans="1:7" ht="15" x14ac:dyDescent="0.2">
      <c r="A93" s="63">
        <v>92</v>
      </c>
      <c r="B93" s="64"/>
      <c r="C93" s="68"/>
      <c r="D93" s="66"/>
      <c r="E93" s="67"/>
      <c r="F93" s="67"/>
      <c r="G93" s="109" t="str">
        <f ca="1">IF(D93&lt;TODAY(),"BORRAR","OK")</f>
        <v>BORRAR</v>
      </c>
    </row>
    <row r="94" spans="1:7" ht="15" x14ac:dyDescent="0.2">
      <c r="A94" s="63">
        <v>93</v>
      </c>
      <c r="B94" s="64"/>
      <c r="C94" s="68"/>
      <c r="D94" s="66"/>
      <c r="E94" s="67"/>
      <c r="F94" s="67"/>
      <c r="G94" s="109" t="str">
        <f ca="1">IF(D94&lt;TODAY(),"BORRAR","OK")</f>
        <v>BORRAR</v>
      </c>
    </row>
    <row r="95" spans="1:7" ht="15" x14ac:dyDescent="0.2">
      <c r="A95" s="63">
        <v>94</v>
      </c>
      <c r="B95" s="64"/>
      <c r="C95" s="68"/>
      <c r="D95" s="66"/>
      <c r="E95" s="67"/>
      <c r="F95" s="67"/>
      <c r="G95" s="109" t="str">
        <f ca="1">IF(D95&lt;TODAY(),"BORRAR","OK")</f>
        <v>BORRAR</v>
      </c>
    </row>
  </sheetData>
  <phoneticPr fontId="46" type="noConversion"/>
  <conditionalFormatting sqref="G19:G95">
    <cfRule type="cellIs" dxfId="3" priority="3" operator="equal">
      <formula>"OK"</formula>
    </cfRule>
    <cfRule type="cellIs" dxfId="2" priority="4" operator="equal">
      <formula>"BORRAR"</formula>
    </cfRule>
  </conditionalFormatting>
  <conditionalFormatting sqref="G2:G18">
    <cfRule type="cellIs" dxfId="1" priority="1" operator="equal">
      <formula>"OK"</formula>
    </cfRule>
    <cfRule type="cellIs" dxfId="0" priority="2" operator="equal">
      <formula>"BORRAR"</formula>
    </cfRule>
  </conditionalFormatting>
  <pageMargins left="0.75" right="0.75" top="1" bottom="1" header="0" footer="0"/>
  <pageSetup paperSize="9" orientation="portrait" horizontalDpi="180" verticalDpi="180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E7408-B173-6546-A601-761A28AFA8A6}">
  <dimension ref="A4:U528"/>
  <sheetViews>
    <sheetView showGridLines="0" zoomScale="128" zoomScaleNormal="128" zoomScalePageLayoutView="205" workbookViewId="0">
      <selection activeCell="A26" sqref="A26"/>
    </sheetView>
  </sheetViews>
  <sheetFormatPr baseColWidth="10" defaultColWidth="10.85546875" defaultRowHeight="12.75" x14ac:dyDescent="0.2"/>
  <cols>
    <col min="1" max="1" width="16.28515625" style="132" bestFit="1" customWidth="1"/>
    <col min="2" max="2" width="11.42578125" style="131" bestFit="1" customWidth="1"/>
    <col min="3" max="3" width="12.28515625" style="131" bestFit="1" customWidth="1"/>
    <col min="4" max="4" width="14.42578125" style="131" bestFit="1" customWidth="1"/>
    <col min="5" max="7" width="10.85546875" style="131"/>
    <col min="8" max="8" width="10.140625" style="131" bestFit="1" customWidth="1"/>
    <col min="9" max="9" width="12.28515625" style="131" bestFit="1" customWidth="1"/>
    <col min="10" max="13" width="10.85546875" style="131"/>
    <col min="14" max="14" width="16.28515625" style="132" bestFit="1" customWidth="1"/>
    <col min="15" max="15" width="9.7109375" style="131" bestFit="1" customWidth="1"/>
    <col min="16" max="16" width="12.28515625" style="131" bestFit="1" customWidth="1"/>
    <col min="17" max="17" width="14.42578125" style="131" bestFit="1" customWidth="1"/>
    <col min="18" max="16384" width="10.85546875" style="131"/>
  </cols>
  <sheetData>
    <row r="4" spans="1:21" x14ac:dyDescent="0.2">
      <c r="C4" s="135">
        <v>4.2000000000000003E-2</v>
      </c>
      <c r="H4" s="140">
        <v>41305</v>
      </c>
      <c r="P4" s="135">
        <f>+cuponbono</f>
        <v>4.2000000000000003E-2</v>
      </c>
      <c r="U4" s="140"/>
    </row>
    <row r="5" spans="1:21" x14ac:dyDescent="0.2">
      <c r="A5" s="132" t="s">
        <v>120</v>
      </c>
      <c r="B5" s="131" t="s">
        <v>119</v>
      </c>
      <c r="C5" s="131" t="s">
        <v>14</v>
      </c>
      <c r="D5" s="131" t="s">
        <v>56</v>
      </c>
      <c r="H5" s="140">
        <v>41670</v>
      </c>
      <c r="I5" s="131">
        <f>+cupon2-cupon1</f>
        <v>365</v>
      </c>
      <c r="N5" s="132" t="s">
        <v>120</v>
      </c>
      <c r="O5" s="131" t="s">
        <v>119</v>
      </c>
      <c r="P5" s="131" t="s">
        <v>14</v>
      </c>
      <c r="Q5" s="131" t="s">
        <v>56</v>
      </c>
      <c r="U5" s="140"/>
    </row>
    <row r="6" spans="1:21" x14ac:dyDescent="0.2">
      <c r="A6" s="137">
        <v>42124</v>
      </c>
      <c r="B6" s="136">
        <v>1.3215000000000001</v>
      </c>
      <c r="C6" s="134">
        <f t="shared" ref="C6:C37" si="0">cuponbono*(A6-cupon3)/365</f>
        <v>1.0241095890410961E-2</v>
      </c>
      <c r="D6" s="134">
        <f t="shared" ref="D6:D69" si="1">C6+B6</f>
        <v>1.331741095890411</v>
      </c>
      <c r="E6" s="133"/>
      <c r="H6" s="140">
        <v>42035</v>
      </c>
      <c r="I6" s="131">
        <f>+cupon3-cupon2</f>
        <v>365</v>
      </c>
      <c r="N6" s="137">
        <f t="shared" ref="N6:N69" si="2">+A6</f>
        <v>42124</v>
      </c>
      <c r="O6" s="136">
        <v>1</v>
      </c>
      <c r="P6" s="134">
        <f t="shared" ref="P6:P69" si="3">+C6</f>
        <v>1.0241095890410961E-2</v>
      </c>
      <c r="Q6" s="134">
        <f t="shared" ref="Q6:Q69" si="4">P6+O6</f>
        <v>1.0102410958904109</v>
      </c>
      <c r="R6" s="133"/>
      <c r="U6" s="140"/>
    </row>
    <row r="7" spans="1:21" x14ac:dyDescent="0.2">
      <c r="A7" s="137">
        <v>42123</v>
      </c>
      <c r="B7" s="136">
        <v>1.31925</v>
      </c>
      <c r="C7" s="134">
        <f t="shared" si="0"/>
        <v>1.0126027397260274E-2</v>
      </c>
      <c r="D7" s="134">
        <f t="shared" si="1"/>
        <v>1.3293760273972604</v>
      </c>
      <c r="E7" s="133"/>
      <c r="N7" s="137">
        <f t="shared" si="2"/>
        <v>42123</v>
      </c>
      <c r="O7" s="136">
        <v>1</v>
      </c>
      <c r="P7" s="134">
        <f t="shared" si="3"/>
        <v>1.0126027397260274E-2</v>
      </c>
      <c r="Q7" s="134">
        <f t="shared" si="4"/>
        <v>1.0101260273972603</v>
      </c>
      <c r="R7" s="133"/>
    </row>
    <row r="8" spans="1:21" x14ac:dyDescent="0.2">
      <c r="A8" s="137">
        <v>42122</v>
      </c>
      <c r="B8" s="136">
        <v>1.3540299999999998</v>
      </c>
      <c r="C8" s="134">
        <f t="shared" si="0"/>
        <v>1.001095890410959E-2</v>
      </c>
      <c r="D8" s="134">
        <f t="shared" si="1"/>
        <v>1.3640409589041094</v>
      </c>
      <c r="E8" s="133"/>
      <c r="N8" s="137">
        <f t="shared" si="2"/>
        <v>42122</v>
      </c>
      <c r="O8" s="136">
        <v>1</v>
      </c>
      <c r="P8" s="134">
        <f t="shared" si="3"/>
        <v>1.001095890410959E-2</v>
      </c>
      <c r="Q8" s="134">
        <f t="shared" si="4"/>
        <v>1.0100109589041095</v>
      </c>
      <c r="R8" s="133"/>
    </row>
    <row r="9" spans="1:21" x14ac:dyDescent="0.2">
      <c r="A9" s="137">
        <v>42121</v>
      </c>
      <c r="B9" s="136">
        <v>1.3561300000000001</v>
      </c>
      <c r="C9" s="134">
        <f t="shared" si="0"/>
        <v>9.895890410958905E-3</v>
      </c>
      <c r="D9" s="134">
        <f t="shared" si="1"/>
        <v>1.366025890410959</v>
      </c>
      <c r="E9" s="133"/>
      <c r="N9" s="137">
        <f t="shared" si="2"/>
        <v>42121</v>
      </c>
      <c r="O9" s="136">
        <v>1</v>
      </c>
      <c r="P9" s="134">
        <f t="shared" si="3"/>
        <v>9.895890410958905E-3</v>
      </c>
      <c r="Q9" s="134">
        <f t="shared" si="4"/>
        <v>1.009895890410959</v>
      </c>
      <c r="R9" s="133"/>
    </row>
    <row r="10" spans="1:21" x14ac:dyDescent="0.2">
      <c r="A10" s="137">
        <v>42118</v>
      </c>
      <c r="B10" s="136">
        <v>1.3477000000000001</v>
      </c>
      <c r="C10" s="134">
        <f t="shared" si="0"/>
        <v>9.5506849315068493E-3</v>
      </c>
      <c r="D10" s="134">
        <f t="shared" si="1"/>
        <v>1.3572506849315069</v>
      </c>
      <c r="E10" s="133"/>
      <c r="N10" s="137">
        <f t="shared" si="2"/>
        <v>42118</v>
      </c>
      <c r="O10" s="136">
        <v>1</v>
      </c>
      <c r="P10" s="134">
        <f t="shared" si="3"/>
        <v>9.5506849315068493E-3</v>
      </c>
      <c r="Q10" s="134">
        <f t="shared" si="4"/>
        <v>1.0095506849315068</v>
      </c>
      <c r="R10" s="133"/>
    </row>
    <row r="11" spans="1:21" x14ac:dyDescent="0.2">
      <c r="A11" s="137">
        <v>42117</v>
      </c>
      <c r="B11" s="136">
        <v>1.3533000000000002</v>
      </c>
      <c r="C11" s="134">
        <f t="shared" si="0"/>
        <v>9.4356164383561647E-3</v>
      </c>
      <c r="D11" s="134">
        <f t="shared" si="1"/>
        <v>1.3627356164383564</v>
      </c>
      <c r="E11" s="133"/>
      <c r="N11" s="137">
        <f t="shared" si="2"/>
        <v>42117</v>
      </c>
      <c r="O11" s="136">
        <v>1</v>
      </c>
      <c r="P11" s="134">
        <f t="shared" si="3"/>
        <v>9.4356164383561647E-3</v>
      </c>
      <c r="Q11" s="134">
        <f t="shared" si="4"/>
        <v>1.0094356164383562</v>
      </c>
      <c r="R11" s="133"/>
    </row>
    <row r="12" spans="1:21" x14ac:dyDescent="0.2">
      <c r="A12" s="137">
        <v>42116</v>
      </c>
      <c r="B12" s="136">
        <v>1.3532</v>
      </c>
      <c r="C12" s="134">
        <f t="shared" si="0"/>
        <v>9.3205479452054801E-3</v>
      </c>
      <c r="D12" s="134">
        <f t="shared" si="1"/>
        <v>1.3625205479452054</v>
      </c>
      <c r="E12" s="133"/>
      <c r="N12" s="137">
        <f t="shared" si="2"/>
        <v>42116</v>
      </c>
      <c r="O12" s="136">
        <v>1</v>
      </c>
      <c r="P12" s="134">
        <f t="shared" si="3"/>
        <v>9.3205479452054801E-3</v>
      </c>
      <c r="Q12" s="134">
        <f t="shared" si="4"/>
        <v>1.0093205479452054</v>
      </c>
      <c r="R12" s="133"/>
    </row>
    <row r="13" spans="1:21" x14ac:dyDescent="0.2">
      <c r="A13" s="137">
        <v>42115</v>
      </c>
      <c r="B13" s="136">
        <v>1.33525</v>
      </c>
      <c r="C13" s="134">
        <f t="shared" si="0"/>
        <v>9.2054794520547954E-3</v>
      </c>
      <c r="D13" s="134">
        <f t="shared" si="1"/>
        <v>1.3444554794520549</v>
      </c>
      <c r="E13" s="133"/>
      <c r="N13" s="137">
        <f t="shared" si="2"/>
        <v>42115</v>
      </c>
      <c r="O13" s="136">
        <v>1</v>
      </c>
      <c r="P13" s="134">
        <f t="shared" si="3"/>
        <v>9.2054794520547954E-3</v>
      </c>
      <c r="Q13" s="134">
        <f t="shared" si="4"/>
        <v>1.0092054794520549</v>
      </c>
      <c r="R13" s="133"/>
    </row>
    <row r="14" spans="1:21" x14ac:dyDescent="0.2">
      <c r="A14" s="137">
        <v>42114</v>
      </c>
      <c r="B14" s="136">
        <v>1.3394999999999999</v>
      </c>
      <c r="C14" s="134">
        <f t="shared" si="0"/>
        <v>9.0904109589041091E-3</v>
      </c>
      <c r="D14" s="134">
        <f t="shared" si="1"/>
        <v>1.348590410958904</v>
      </c>
      <c r="E14" s="133"/>
      <c r="N14" s="137">
        <f t="shared" si="2"/>
        <v>42114</v>
      </c>
      <c r="O14" s="136">
        <v>1</v>
      </c>
      <c r="P14" s="134">
        <f t="shared" si="3"/>
        <v>9.0904109589041091E-3</v>
      </c>
      <c r="Q14" s="134">
        <f t="shared" si="4"/>
        <v>1.0090904109589041</v>
      </c>
      <c r="R14" s="133"/>
    </row>
    <row r="15" spans="1:21" x14ac:dyDescent="0.2">
      <c r="A15" s="137">
        <v>42111</v>
      </c>
      <c r="B15" s="136">
        <v>1.34405</v>
      </c>
      <c r="C15" s="134">
        <f t="shared" si="0"/>
        <v>8.7452054794520551E-3</v>
      </c>
      <c r="D15" s="134">
        <f t="shared" si="1"/>
        <v>1.3527952054794521</v>
      </c>
      <c r="E15" s="133"/>
      <c r="N15" s="137">
        <f t="shared" si="2"/>
        <v>42111</v>
      </c>
      <c r="O15" s="136">
        <v>1</v>
      </c>
      <c r="P15" s="134">
        <f t="shared" si="3"/>
        <v>8.7452054794520551E-3</v>
      </c>
      <c r="Q15" s="134">
        <f t="shared" si="4"/>
        <v>1.0087452054794521</v>
      </c>
      <c r="R15" s="133"/>
    </row>
    <row r="16" spans="1:21" x14ac:dyDescent="0.2">
      <c r="A16" s="137">
        <v>42110</v>
      </c>
      <c r="B16" s="136">
        <v>1.3655299999999999</v>
      </c>
      <c r="C16" s="134">
        <f t="shared" si="0"/>
        <v>8.6301369863013705E-3</v>
      </c>
      <c r="D16" s="134">
        <f t="shared" si="1"/>
        <v>1.3741601369863012</v>
      </c>
      <c r="E16" s="133"/>
      <c r="N16" s="137">
        <f t="shared" si="2"/>
        <v>42110</v>
      </c>
      <c r="O16" s="136">
        <v>1</v>
      </c>
      <c r="P16" s="134">
        <f t="shared" si="3"/>
        <v>8.6301369863013705E-3</v>
      </c>
      <c r="Q16" s="134">
        <f t="shared" si="4"/>
        <v>1.0086301369863013</v>
      </c>
      <c r="R16" s="133"/>
    </row>
    <row r="17" spans="1:18" x14ac:dyDescent="0.2">
      <c r="A17" s="137">
        <v>42109</v>
      </c>
      <c r="B17" s="136">
        <v>1.3834</v>
      </c>
      <c r="C17" s="134">
        <f t="shared" si="0"/>
        <v>8.5150684931506859E-3</v>
      </c>
      <c r="D17" s="134">
        <f t="shared" si="1"/>
        <v>1.3919150684931507</v>
      </c>
      <c r="E17" s="133"/>
      <c r="N17" s="137">
        <f t="shared" si="2"/>
        <v>42109</v>
      </c>
      <c r="O17" s="136">
        <v>1</v>
      </c>
      <c r="P17" s="134">
        <f t="shared" si="3"/>
        <v>8.5150684931506859E-3</v>
      </c>
      <c r="Q17" s="134">
        <f t="shared" si="4"/>
        <v>1.0085150684931508</v>
      </c>
      <c r="R17" s="133"/>
    </row>
    <row r="18" spans="1:18" x14ac:dyDescent="0.2">
      <c r="A18" s="137">
        <v>42108</v>
      </c>
      <c r="B18" s="136">
        <v>1.3706299999999998</v>
      </c>
      <c r="C18" s="134">
        <f t="shared" si="0"/>
        <v>8.4000000000000012E-3</v>
      </c>
      <c r="D18" s="134">
        <f t="shared" si="1"/>
        <v>1.3790299999999998</v>
      </c>
      <c r="E18" s="133"/>
      <c r="N18" s="137">
        <f t="shared" si="2"/>
        <v>42108</v>
      </c>
      <c r="O18" s="136">
        <v>1</v>
      </c>
      <c r="P18" s="134">
        <f t="shared" si="3"/>
        <v>8.4000000000000012E-3</v>
      </c>
      <c r="Q18" s="134">
        <f t="shared" si="4"/>
        <v>1.0084</v>
      </c>
      <c r="R18" s="133"/>
    </row>
    <row r="19" spans="1:18" x14ac:dyDescent="0.2">
      <c r="A19" s="137">
        <v>42107</v>
      </c>
      <c r="B19" s="136">
        <v>1.3931800000000001</v>
      </c>
      <c r="C19" s="134">
        <f t="shared" si="0"/>
        <v>8.2849315068493148E-3</v>
      </c>
      <c r="D19" s="134">
        <f t="shared" si="1"/>
        <v>1.4014649315068495</v>
      </c>
      <c r="E19" s="133"/>
      <c r="N19" s="137">
        <f t="shared" si="2"/>
        <v>42107</v>
      </c>
      <c r="O19" s="136">
        <v>1</v>
      </c>
      <c r="P19" s="134">
        <f t="shared" si="3"/>
        <v>8.2849315068493148E-3</v>
      </c>
      <c r="Q19" s="134">
        <f t="shared" si="4"/>
        <v>1.0082849315068494</v>
      </c>
      <c r="R19" s="133"/>
    </row>
    <row r="20" spans="1:18" x14ac:dyDescent="0.2">
      <c r="A20" s="137">
        <v>42104</v>
      </c>
      <c r="B20" s="136">
        <v>1.3976</v>
      </c>
      <c r="C20" s="134">
        <f t="shared" si="0"/>
        <v>7.9397260273972609E-3</v>
      </c>
      <c r="D20" s="134">
        <f t="shared" si="1"/>
        <v>1.4055397260273972</v>
      </c>
      <c r="E20" s="133"/>
      <c r="N20" s="137">
        <f t="shared" si="2"/>
        <v>42104</v>
      </c>
      <c r="O20" s="136">
        <v>1</v>
      </c>
      <c r="P20" s="134">
        <f t="shared" si="3"/>
        <v>7.9397260273972609E-3</v>
      </c>
      <c r="Q20" s="134">
        <f t="shared" si="4"/>
        <v>1.0079397260273972</v>
      </c>
      <c r="R20" s="133"/>
    </row>
    <row r="21" spans="1:18" x14ac:dyDescent="0.2">
      <c r="A21" s="137">
        <v>42103</v>
      </c>
      <c r="B21" s="136">
        <v>1.3962299999999999</v>
      </c>
      <c r="C21" s="134">
        <f t="shared" si="0"/>
        <v>7.8246575342465763E-3</v>
      </c>
      <c r="D21" s="134">
        <f t="shared" si="1"/>
        <v>1.4040546575342465</v>
      </c>
      <c r="E21" s="133"/>
      <c r="N21" s="137">
        <f t="shared" si="2"/>
        <v>42103</v>
      </c>
      <c r="O21" s="136">
        <v>1</v>
      </c>
      <c r="P21" s="134">
        <f t="shared" si="3"/>
        <v>7.8246575342465763E-3</v>
      </c>
      <c r="Q21" s="134">
        <f t="shared" si="4"/>
        <v>1.0078246575342467</v>
      </c>
      <c r="R21" s="133"/>
    </row>
    <row r="22" spans="1:18" x14ac:dyDescent="0.2">
      <c r="A22" s="137">
        <v>42102</v>
      </c>
      <c r="B22" s="136">
        <v>1.4094</v>
      </c>
      <c r="C22" s="134">
        <f t="shared" si="0"/>
        <v>7.7095890410958908E-3</v>
      </c>
      <c r="D22" s="134">
        <f t="shared" si="1"/>
        <v>1.4171095890410959</v>
      </c>
      <c r="E22" s="133"/>
      <c r="N22" s="137">
        <f t="shared" si="2"/>
        <v>42102</v>
      </c>
      <c r="O22" s="136">
        <v>1</v>
      </c>
      <c r="P22" s="134">
        <f t="shared" si="3"/>
        <v>7.7095890410958908E-3</v>
      </c>
      <c r="Q22" s="134">
        <f t="shared" si="4"/>
        <v>1.0077095890410959</v>
      </c>
      <c r="R22" s="133"/>
    </row>
    <row r="23" spans="1:18" x14ac:dyDescent="0.2">
      <c r="A23" s="137">
        <v>42101</v>
      </c>
      <c r="B23" s="136">
        <v>1.4155500000000001</v>
      </c>
      <c r="C23" s="134">
        <f t="shared" si="0"/>
        <v>7.5945205479452061E-3</v>
      </c>
      <c r="D23" s="134">
        <f t="shared" si="1"/>
        <v>1.4231445205479454</v>
      </c>
      <c r="E23" s="133"/>
      <c r="N23" s="137">
        <f t="shared" si="2"/>
        <v>42101</v>
      </c>
      <c r="O23" s="136">
        <v>1</v>
      </c>
      <c r="P23" s="134">
        <f t="shared" si="3"/>
        <v>7.5945205479452061E-3</v>
      </c>
      <c r="Q23" s="134">
        <f t="shared" si="4"/>
        <v>1.0075945205479453</v>
      </c>
      <c r="R23" s="133"/>
    </row>
    <row r="24" spans="1:18" x14ac:dyDescent="0.2">
      <c r="A24" s="137">
        <v>42100</v>
      </c>
      <c r="B24" s="136">
        <v>1.4108799999999999</v>
      </c>
      <c r="C24" s="134">
        <f t="shared" si="0"/>
        <v>7.4794520547945206E-3</v>
      </c>
      <c r="D24" s="134">
        <f t="shared" si="1"/>
        <v>1.4183594520547944</v>
      </c>
      <c r="E24" s="133"/>
      <c r="N24" s="137">
        <f t="shared" si="2"/>
        <v>42100</v>
      </c>
      <c r="O24" s="136">
        <v>1</v>
      </c>
      <c r="P24" s="134">
        <f t="shared" si="3"/>
        <v>7.4794520547945206E-3</v>
      </c>
      <c r="Q24" s="134">
        <f t="shared" si="4"/>
        <v>1.0074794520547945</v>
      </c>
      <c r="R24" s="133"/>
    </row>
    <row r="25" spans="1:18" x14ac:dyDescent="0.2">
      <c r="A25" s="137">
        <v>42097</v>
      </c>
      <c r="B25" s="136">
        <v>1.4108799999999999</v>
      </c>
      <c r="C25" s="134">
        <f t="shared" si="0"/>
        <v>7.1342465753424658E-3</v>
      </c>
      <c r="D25" s="134">
        <f t="shared" si="1"/>
        <v>1.4180142465753425</v>
      </c>
      <c r="E25" s="133"/>
      <c r="N25" s="137">
        <f t="shared" si="2"/>
        <v>42097</v>
      </c>
      <c r="O25" s="136">
        <v>1</v>
      </c>
      <c r="P25" s="134">
        <f t="shared" si="3"/>
        <v>7.1342465753424658E-3</v>
      </c>
      <c r="Q25" s="134">
        <f t="shared" si="4"/>
        <v>1.0071342465753426</v>
      </c>
      <c r="R25" s="133"/>
    </row>
    <row r="26" spans="1:18" x14ac:dyDescent="0.2">
      <c r="A26" s="137">
        <v>42096</v>
      </c>
      <c r="B26" s="136">
        <v>1.4108799999999999</v>
      </c>
      <c r="C26" s="134">
        <f t="shared" si="0"/>
        <v>7.0191780821917812E-3</v>
      </c>
      <c r="D26" s="134">
        <f t="shared" si="1"/>
        <v>1.4178991780821917</v>
      </c>
      <c r="E26" s="133"/>
      <c r="N26" s="137">
        <f t="shared" si="2"/>
        <v>42096</v>
      </c>
      <c r="O26" s="136">
        <v>1</v>
      </c>
      <c r="P26" s="134">
        <f t="shared" si="3"/>
        <v>7.0191780821917812E-3</v>
      </c>
      <c r="Q26" s="134">
        <f t="shared" si="4"/>
        <v>1.0070191780821918</v>
      </c>
      <c r="R26" s="133"/>
    </row>
    <row r="27" spans="1:18" x14ac:dyDescent="0.2">
      <c r="A27" s="137">
        <v>42095</v>
      </c>
      <c r="B27" s="136">
        <v>1.4180000000000001</v>
      </c>
      <c r="C27" s="134">
        <f t="shared" si="0"/>
        <v>6.9041095890410957E-3</v>
      </c>
      <c r="D27" s="134">
        <f t="shared" si="1"/>
        <v>1.4249041095890413</v>
      </c>
      <c r="E27" s="133"/>
      <c r="N27" s="137">
        <f t="shared" si="2"/>
        <v>42095</v>
      </c>
      <c r="O27" s="136">
        <v>1</v>
      </c>
      <c r="P27" s="134">
        <f t="shared" si="3"/>
        <v>6.9041095890410957E-3</v>
      </c>
      <c r="Q27" s="134">
        <f t="shared" si="4"/>
        <v>1.0069041095890412</v>
      </c>
      <c r="R27" s="133"/>
    </row>
    <row r="28" spans="1:18" x14ac:dyDescent="0.2">
      <c r="A28" s="137">
        <v>42094</v>
      </c>
      <c r="B28" s="136">
        <v>1.4155000000000002</v>
      </c>
      <c r="C28" s="134">
        <f t="shared" si="0"/>
        <v>6.7890410958904119E-3</v>
      </c>
      <c r="D28" s="134">
        <f t="shared" si="1"/>
        <v>1.4222890410958906</v>
      </c>
      <c r="E28" s="133"/>
      <c r="N28" s="137">
        <f t="shared" si="2"/>
        <v>42094</v>
      </c>
      <c r="O28" s="136">
        <v>1</v>
      </c>
      <c r="P28" s="134">
        <f t="shared" si="3"/>
        <v>6.7890410958904119E-3</v>
      </c>
      <c r="Q28" s="134">
        <f t="shared" si="4"/>
        <v>1.0067890410958904</v>
      </c>
      <c r="R28" s="133"/>
    </row>
    <row r="29" spans="1:18" x14ac:dyDescent="0.2">
      <c r="A29" s="137">
        <v>42093</v>
      </c>
      <c r="B29" s="136">
        <v>1.4016</v>
      </c>
      <c r="C29" s="134">
        <f t="shared" si="0"/>
        <v>6.6739726027397256E-3</v>
      </c>
      <c r="D29" s="134">
        <f t="shared" si="1"/>
        <v>1.4082739726027398</v>
      </c>
      <c r="E29" s="133"/>
      <c r="N29" s="137">
        <f t="shared" si="2"/>
        <v>42093</v>
      </c>
      <c r="O29" s="136">
        <v>1</v>
      </c>
      <c r="P29" s="134">
        <f t="shared" si="3"/>
        <v>6.6739726027397256E-3</v>
      </c>
      <c r="Q29" s="134">
        <f t="shared" si="4"/>
        <v>1.0066739726027398</v>
      </c>
      <c r="R29" s="133"/>
    </row>
    <row r="30" spans="1:18" x14ac:dyDescent="0.2">
      <c r="A30" s="137">
        <v>42090</v>
      </c>
      <c r="B30" s="136">
        <v>1.3928800000000001</v>
      </c>
      <c r="C30" s="134">
        <f t="shared" si="0"/>
        <v>6.3287671232876716E-3</v>
      </c>
      <c r="D30" s="134">
        <f t="shared" si="1"/>
        <v>1.3992087671232878</v>
      </c>
      <c r="E30" s="133"/>
      <c r="N30" s="137">
        <f t="shared" si="2"/>
        <v>42090</v>
      </c>
      <c r="O30" s="136">
        <v>1</v>
      </c>
      <c r="P30" s="134">
        <f t="shared" si="3"/>
        <v>6.3287671232876716E-3</v>
      </c>
      <c r="Q30" s="134">
        <f t="shared" si="4"/>
        <v>1.0063287671232877</v>
      </c>
      <c r="R30" s="133"/>
    </row>
    <row r="31" spans="1:18" x14ac:dyDescent="0.2">
      <c r="A31" s="137">
        <v>42089</v>
      </c>
      <c r="B31" s="136">
        <v>1.4046000000000001</v>
      </c>
      <c r="C31" s="134">
        <f t="shared" si="0"/>
        <v>6.213698630136987E-3</v>
      </c>
      <c r="D31" s="134">
        <f t="shared" si="1"/>
        <v>1.4108136986301369</v>
      </c>
      <c r="E31" s="133"/>
      <c r="N31" s="137">
        <f t="shared" si="2"/>
        <v>42089</v>
      </c>
      <c r="O31" s="136">
        <v>1</v>
      </c>
      <c r="P31" s="134">
        <f t="shared" si="3"/>
        <v>6.213698630136987E-3</v>
      </c>
      <c r="Q31" s="134">
        <f t="shared" si="4"/>
        <v>1.0062136986301369</v>
      </c>
      <c r="R31" s="133"/>
    </row>
    <row r="32" spans="1:18" x14ac:dyDescent="0.2">
      <c r="A32" s="137">
        <v>42088</v>
      </c>
      <c r="B32" s="136">
        <v>1.3921000000000001</v>
      </c>
      <c r="C32" s="134">
        <f t="shared" si="0"/>
        <v>6.0986301369863015E-3</v>
      </c>
      <c r="D32" s="134">
        <f t="shared" si="1"/>
        <v>1.3981986301369864</v>
      </c>
      <c r="E32" s="133"/>
      <c r="N32" s="137">
        <f t="shared" si="2"/>
        <v>42088</v>
      </c>
      <c r="O32" s="136">
        <v>1</v>
      </c>
      <c r="P32" s="134">
        <f t="shared" si="3"/>
        <v>6.0986301369863015E-3</v>
      </c>
      <c r="Q32" s="134">
        <f t="shared" si="4"/>
        <v>1.0060986301369863</v>
      </c>
      <c r="R32" s="133"/>
    </row>
    <row r="33" spans="1:18" x14ac:dyDescent="0.2">
      <c r="A33" s="137">
        <v>42087</v>
      </c>
      <c r="B33" s="136">
        <v>1.3909800000000001</v>
      </c>
      <c r="C33" s="134">
        <f t="shared" si="0"/>
        <v>5.9835616438356169E-3</v>
      </c>
      <c r="D33" s="134">
        <f t="shared" si="1"/>
        <v>1.3969635616438356</v>
      </c>
      <c r="E33" s="133"/>
      <c r="N33" s="137">
        <f t="shared" si="2"/>
        <v>42087</v>
      </c>
      <c r="O33" s="136">
        <v>1</v>
      </c>
      <c r="P33" s="134">
        <f t="shared" si="3"/>
        <v>5.9835616438356169E-3</v>
      </c>
      <c r="Q33" s="134">
        <f t="shared" si="4"/>
        <v>1.0059835616438355</v>
      </c>
      <c r="R33" s="133"/>
    </row>
    <row r="34" spans="1:18" x14ac:dyDescent="0.2">
      <c r="A34" s="137">
        <v>42086</v>
      </c>
      <c r="B34" s="136">
        <v>1.39832</v>
      </c>
      <c r="C34" s="134">
        <f t="shared" si="0"/>
        <v>5.8684931506849322E-3</v>
      </c>
      <c r="D34" s="134">
        <f t="shared" si="1"/>
        <v>1.4041884931506849</v>
      </c>
      <c r="E34" s="133"/>
      <c r="N34" s="137">
        <f t="shared" si="2"/>
        <v>42086</v>
      </c>
      <c r="O34" s="136">
        <v>1</v>
      </c>
      <c r="P34" s="134">
        <f t="shared" si="3"/>
        <v>5.8684931506849322E-3</v>
      </c>
      <c r="Q34" s="134">
        <f t="shared" si="4"/>
        <v>1.0058684931506849</v>
      </c>
      <c r="R34" s="133"/>
    </row>
    <row r="35" spans="1:18" x14ac:dyDescent="0.2">
      <c r="A35" s="137">
        <v>42083</v>
      </c>
      <c r="B35" s="136">
        <v>1.4100999999999999</v>
      </c>
      <c r="C35" s="134">
        <f t="shared" si="0"/>
        <v>5.5232876712328766E-3</v>
      </c>
      <c r="D35" s="134">
        <f t="shared" si="1"/>
        <v>1.4156232876712327</v>
      </c>
      <c r="E35" s="133"/>
      <c r="N35" s="137">
        <f t="shared" si="2"/>
        <v>42083</v>
      </c>
      <c r="O35" s="136">
        <v>1</v>
      </c>
      <c r="P35" s="134">
        <f t="shared" si="3"/>
        <v>5.5232876712328766E-3</v>
      </c>
      <c r="Q35" s="134">
        <f t="shared" si="4"/>
        <v>1.0055232876712328</v>
      </c>
      <c r="R35" s="133"/>
    </row>
    <row r="36" spans="1:18" x14ac:dyDescent="0.2">
      <c r="A36" s="137">
        <v>42082</v>
      </c>
      <c r="B36" s="136">
        <v>1.40065</v>
      </c>
      <c r="C36" s="134">
        <f t="shared" si="0"/>
        <v>5.4082191780821919E-3</v>
      </c>
      <c r="D36" s="134">
        <f t="shared" si="1"/>
        <v>1.4060582191780822</v>
      </c>
      <c r="E36" s="133"/>
      <c r="N36" s="137">
        <f t="shared" si="2"/>
        <v>42082</v>
      </c>
      <c r="O36" s="136">
        <v>1</v>
      </c>
      <c r="P36" s="134">
        <f t="shared" si="3"/>
        <v>5.4082191780821919E-3</v>
      </c>
      <c r="Q36" s="134">
        <f t="shared" si="4"/>
        <v>1.0054082191780822</v>
      </c>
      <c r="R36" s="133"/>
    </row>
    <row r="37" spans="1:18" x14ac:dyDescent="0.2">
      <c r="A37" s="137">
        <v>42081</v>
      </c>
      <c r="B37" s="136">
        <v>1.4037799999999998</v>
      </c>
      <c r="C37" s="134">
        <f t="shared" si="0"/>
        <v>5.2931506849315073E-3</v>
      </c>
      <c r="D37" s="134">
        <f t="shared" si="1"/>
        <v>1.4090731506849312</v>
      </c>
      <c r="E37" s="133"/>
      <c r="N37" s="137">
        <f t="shared" si="2"/>
        <v>42081</v>
      </c>
      <c r="O37" s="136">
        <v>1</v>
      </c>
      <c r="P37" s="134">
        <f t="shared" si="3"/>
        <v>5.2931506849315073E-3</v>
      </c>
      <c r="Q37" s="134">
        <f t="shared" si="4"/>
        <v>1.0052931506849314</v>
      </c>
      <c r="R37" s="133"/>
    </row>
    <row r="38" spans="1:18" x14ac:dyDescent="0.2">
      <c r="A38" s="137">
        <v>42080</v>
      </c>
      <c r="B38" s="136">
        <v>1.4197</v>
      </c>
      <c r="C38" s="134">
        <f t="shared" ref="C38:C69" si="5">cuponbono*(A38-cupon3)/365</f>
        <v>5.1780821917808226E-3</v>
      </c>
      <c r="D38" s="134">
        <f t="shared" si="1"/>
        <v>1.4248780821917808</v>
      </c>
      <c r="E38" s="133"/>
      <c r="N38" s="137">
        <f t="shared" si="2"/>
        <v>42080</v>
      </c>
      <c r="O38" s="136">
        <v>1</v>
      </c>
      <c r="P38" s="134">
        <f t="shared" si="3"/>
        <v>5.1780821917808226E-3</v>
      </c>
      <c r="Q38" s="134">
        <f t="shared" si="4"/>
        <v>1.0051780821917808</v>
      </c>
      <c r="R38" s="133"/>
    </row>
    <row r="39" spans="1:18" x14ac:dyDescent="0.2">
      <c r="A39" s="137">
        <v>42079</v>
      </c>
      <c r="B39" s="136">
        <v>1.4328299999999998</v>
      </c>
      <c r="C39" s="134">
        <f t="shared" si="5"/>
        <v>5.0630136986301371E-3</v>
      </c>
      <c r="D39" s="134">
        <f t="shared" si="1"/>
        <v>1.4378930136986299</v>
      </c>
      <c r="E39" s="133"/>
      <c r="N39" s="137">
        <f t="shared" si="2"/>
        <v>42079</v>
      </c>
      <c r="O39" s="136">
        <v>1</v>
      </c>
      <c r="P39" s="134">
        <f t="shared" si="3"/>
        <v>5.0630136986301371E-3</v>
      </c>
      <c r="Q39" s="134">
        <f t="shared" si="4"/>
        <v>1.00506301369863</v>
      </c>
      <c r="R39" s="133"/>
    </row>
    <row r="40" spans="1:18" x14ac:dyDescent="0.2">
      <c r="A40" s="137">
        <v>42076</v>
      </c>
      <c r="B40" s="136">
        <v>1.4296</v>
      </c>
      <c r="C40" s="134">
        <f t="shared" si="5"/>
        <v>4.7178082191780824E-3</v>
      </c>
      <c r="D40" s="134">
        <f t="shared" si="1"/>
        <v>1.4343178082191781</v>
      </c>
      <c r="E40" s="133"/>
      <c r="N40" s="137">
        <f t="shared" si="2"/>
        <v>42076</v>
      </c>
      <c r="O40" s="136">
        <v>1</v>
      </c>
      <c r="P40" s="134">
        <f t="shared" si="3"/>
        <v>4.7178082191780824E-3</v>
      </c>
      <c r="Q40" s="134">
        <f t="shared" si="4"/>
        <v>1.0047178082191781</v>
      </c>
      <c r="R40" s="133"/>
    </row>
    <row r="41" spans="1:18" x14ac:dyDescent="0.2">
      <c r="A41" s="137">
        <v>42075</v>
      </c>
      <c r="B41" s="136">
        <v>1.4302999999999999</v>
      </c>
      <c r="C41" s="134">
        <f t="shared" si="5"/>
        <v>4.6027397260273977E-3</v>
      </c>
      <c r="D41" s="134">
        <f t="shared" si="1"/>
        <v>1.4349027397260272</v>
      </c>
      <c r="E41" s="133"/>
      <c r="N41" s="137">
        <f t="shared" si="2"/>
        <v>42075</v>
      </c>
      <c r="O41" s="136">
        <v>1</v>
      </c>
      <c r="P41" s="134">
        <f t="shared" si="3"/>
        <v>4.6027397260273977E-3</v>
      </c>
      <c r="Q41" s="134">
        <f t="shared" si="4"/>
        <v>1.0046027397260273</v>
      </c>
      <c r="R41" s="133"/>
    </row>
    <row r="42" spans="1:18" x14ac:dyDescent="0.2">
      <c r="A42" s="137">
        <v>42074</v>
      </c>
      <c r="B42" s="136">
        <v>1.4249000000000001</v>
      </c>
      <c r="C42" s="134">
        <f t="shared" si="5"/>
        <v>4.4876712328767131E-3</v>
      </c>
      <c r="D42" s="134">
        <f t="shared" si="1"/>
        <v>1.4293876712328768</v>
      </c>
      <c r="E42" s="133"/>
      <c r="N42" s="137">
        <f t="shared" si="2"/>
        <v>42074</v>
      </c>
      <c r="O42" s="136">
        <v>1</v>
      </c>
      <c r="P42" s="134">
        <f t="shared" si="3"/>
        <v>4.4876712328767131E-3</v>
      </c>
      <c r="Q42" s="134">
        <f t="shared" si="4"/>
        <v>1.0044876712328767</v>
      </c>
      <c r="R42" s="133"/>
    </row>
    <row r="43" spans="1:18" x14ac:dyDescent="0.2">
      <c r="A43" s="137">
        <v>42073</v>
      </c>
      <c r="B43" s="136">
        <v>1.3922800000000002</v>
      </c>
      <c r="C43" s="134">
        <f t="shared" si="5"/>
        <v>4.3726027397260276E-3</v>
      </c>
      <c r="D43" s="134">
        <f t="shared" si="1"/>
        <v>1.3966526027397261</v>
      </c>
      <c r="E43" s="133"/>
      <c r="N43" s="137">
        <f t="shared" si="2"/>
        <v>42073</v>
      </c>
      <c r="O43" s="136">
        <v>1</v>
      </c>
      <c r="P43" s="134">
        <f t="shared" si="3"/>
        <v>4.3726027397260276E-3</v>
      </c>
      <c r="Q43" s="134">
        <f t="shared" si="4"/>
        <v>1.004372602739726</v>
      </c>
      <c r="R43" s="133"/>
    </row>
    <row r="44" spans="1:18" x14ac:dyDescent="0.2">
      <c r="A44" s="137">
        <v>42072</v>
      </c>
      <c r="B44" s="136">
        <v>1.3721299999999998</v>
      </c>
      <c r="C44" s="134">
        <f t="shared" si="5"/>
        <v>4.2575342465753429E-3</v>
      </c>
      <c r="D44" s="134">
        <f t="shared" si="1"/>
        <v>1.3763875342465752</v>
      </c>
      <c r="E44" s="133"/>
      <c r="N44" s="137">
        <f t="shared" si="2"/>
        <v>42072</v>
      </c>
      <c r="O44" s="136">
        <v>1</v>
      </c>
      <c r="P44" s="134">
        <f t="shared" si="3"/>
        <v>4.2575342465753429E-3</v>
      </c>
      <c r="Q44" s="134">
        <f t="shared" si="4"/>
        <v>1.0042575342465754</v>
      </c>
      <c r="R44" s="133"/>
    </row>
    <row r="45" spans="1:18" x14ac:dyDescent="0.2">
      <c r="A45" s="137">
        <v>42069</v>
      </c>
      <c r="B45" s="136">
        <v>1.36673</v>
      </c>
      <c r="C45" s="134">
        <f t="shared" si="5"/>
        <v>3.9123287671232881E-3</v>
      </c>
      <c r="D45" s="134">
        <f t="shared" si="1"/>
        <v>1.3706423287671232</v>
      </c>
      <c r="E45" s="133"/>
      <c r="N45" s="137">
        <f t="shared" si="2"/>
        <v>42069</v>
      </c>
      <c r="O45" s="136">
        <v>1</v>
      </c>
      <c r="P45" s="134">
        <f t="shared" si="3"/>
        <v>3.9123287671232881E-3</v>
      </c>
      <c r="Q45" s="134">
        <f t="shared" si="4"/>
        <v>1.0039123287671232</v>
      </c>
      <c r="R45" s="133"/>
    </row>
    <row r="46" spans="1:18" x14ac:dyDescent="0.2">
      <c r="A46" s="137">
        <v>42068</v>
      </c>
      <c r="B46" s="136">
        <v>1.3633999999999999</v>
      </c>
      <c r="C46" s="134">
        <f t="shared" si="5"/>
        <v>3.7972602739726031E-3</v>
      </c>
      <c r="D46" s="134">
        <f t="shared" si="1"/>
        <v>1.3671972602739726</v>
      </c>
      <c r="E46" s="133"/>
      <c r="N46" s="137">
        <f t="shared" si="2"/>
        <v>42068</v>
      </c>
      <c r="O46" s="136">
        <v>1</v>
      </c>
      <c r="P46" s="134">
        <f t="shared" si="3"/>
        <v>3.7972602739726031E-3</v>
      </c>
      <c r="Q46" s="134">
        <f t="shared" si="4"/>
        <v>1.0037972602739726</v>
      </c>
      <c r="R46" s="133"/>
    </row>
    <row r="47" spans="1:18" x14ac:dyDescent="0.2">
      <c r="A47" s="137">
        <v>42067</v>
      </c>
      <c r="B47" s="136">
        <v>1.3485800000000001</v>
      </c>
      <c r="C47" s="134">
        <f t="shared" si="5"/>
        <v>3.682191780821918E-3</v>
      </c>
      <c r="D47" s="134">
        <f t="shared" si="1"/>
        <v>1.352262191780822</v>
      </c>
      <c r="E47" s="133"/>
      <c r="N47" s="137">
        <f t="shared" si="2"/>
        <v>42067</v>
      </c>
      <c r="O47" s="136">
        <v>1</v>
      </c>
      <c r="P47" s="134">
        <f t="shared" si="3"/>
        <v>3.682191780821918E-3</v>
      </c>
      <c r="Q47" s="134">
        <f t="shared" si="4"/>
        <v>1.0036821917808219</v>
      </c>
      <c r="R47" s="133"/>
    </row>
    <row r="48" spans="1:18" x14ac:dyDescent="0.2">
      <c r="A48" s="137">
        <v>42066</v>
      </c>
      <c r="B48" s="136">
        <v>1.34805</v>
      </c>
      <c r="C48" s="134">
        <f t="shared" si="5"/>
        <v>3.5671232876712329E-3</v>
      </c>
      <c r="D48" s="134">
        <f t="shared" si="1"/>
        <v>1.3516171232876713</v>
      </c>
      <c r="E48" s="133"/>
      <c r="N48" s="137">
        <f t="shared" si="2"/>
        <v>42066</v>
      </c>
      <c r="O48" s="136">
        <v>1</v>
      </c>
      <c r="P48" s="134">
        <f t="shared" si="3"/>
        <v>3.5671232876712329E-3</v>
      </c>
      <c r="Q48" s="134">
        <f t="shared" si="4"/>
        <v>1.0035671232876713</v>
      </c>
      <c r="R48" s="133"/>
    </row>
    <row r="49" spans="1:18" x14ac:dyDescent="0.2">
      <c r="A49" s="137">
        <v>42065</v>
      </c>
      <c r="B49" s="136">
        <v>1.3650499999999999</v>
      </c>
      <c r="C49" s="134">
        <f t="shared" si="5"/>
        <v>3.4520547945205479E-3</v>
      </c>
      <c r="D49" s="134">
        <f t="shared" si="1"/>
        <v>1.3685020547945204</v>
      </c>
      <c r="E49" s="133"/>
      <c r="N49" s="137">
        <f t="shared" si="2"/>
        <v>42065</v>
      </c>
      <c r="O49" s="136">
        <v>1</v>
      </c>
      <c r="P49" s="134">
        <f t="shared" si="3"/>
        <v>3.4520547945205479E-3</v>
      </c>
      <c r="Q49" s="134">
        <f t="shared" si="4"/>
        <v>1.0034520547945205</v>
      </c>
      <c r="R49" s="133"/>
    </row>
    <row r="50" spans="1:18" x14ac:dyDescent="0.2">
      <c r="A50" s="137">
        <v>42062</v>
      </c>
      <c r="B50" s="136">
        <v>1.3731800000000001</v>
      </c>
      <c r="C50" s="134">
        <f t="shared" si="5"/>
        <v>3.1068493150684935E-3</v>
      </c>
      <c r="D50" s="134">
        <f t="shared" si="1"/>
        <v>1.3762868493150686</v>
      </c>
      <c r="E50" s="133"/>
      <c r="N50" s="137">
        <f t="shared" si="2"/>
        <v>42062</v>
      </c>
      <c r="O50" s="136">
        <v>1</v>
      </c>
      <c r="P50" s="134">
        <f t="shared" si="3"/>
        <v>3.1068493150684935E-3</v>
      </c>
      <c r="Q50" s="134">
        <f t="shared" si="4"/>
        <v>1.0031068493150685</v>
      </c>
      <c r="R50" s="133"/>
    </row>
    <row r="51" spans="1:18" x14ac:dyDescent="0.2">
      <c r="A51" s="137">
        <v>42061</v>
      </c>
      <c r="B51" s="136">
        <v>1.3644499999999999</v>
      </c>
      <c r="C51" s="134">
        <f t="shared" si="5"/>
        <v>2.9917808219178084E-3</v>
      </c>
      <c r="D51" s="134">
        <f t="shared" si="1"/>
        <v>1.3674417808219177</v>
      </c>
      <c r="E51" s="133"/>
      <c r="N51" s="137">
        <f t="shared" si="2"/>
        <v>42061</v>
      </c>
      <c r="O51" s="136">
        <v>1</v>
      </c>
      <c r="P51" s="134">
        <f t="shared" si="3"/>
        <v>2.9917808219178084E-3</v>
      </c>
      <c r="Q51" s="134">
        <f t="shared" si="4"/>
        <v>1.0029917808219178</v>
      </c>
      <c r="R51" s="133"/>
    </row>
    <row r="52" spans="1:18" x14ac:dyDescent="0.2">
      <c r="A52" s="137">
        <v>42060</v>
      </c>
      <c r="B52" s="136">
        <v>1.3374000000000001</v>
      </c>
      <c r="C52" s="134">
        <f t="shared" si="5"/>
        <v>2.8767123287671234E-3</v>
      </c>
      <c r="D52" s="134">
        <f t="shared" si="1"/>
        <v>1.3402767123287673</v>
      </c>
      <c r="E52" s="133"/>
      <c r="N52" s="137">
        <f t="shared" si="2"/>
        <v>42060</v>
      </c>
      <c r="O52" s="136">
        <v>1</v>
      </c>
      <c r="P52" s="134">
        <f t="shared" si="3"/>
        <v>2.8767123287671234E-3</v>
      </c>
      <c r="Q52" s="134">
        <f t="shared" si="4"/>
        <v>1.0028767123287672</v>
      </c>
      <c r="R52" s="133"/>
    </row>
    <row r="53" spans="1:18" x14ac:dyDescent="0.2">
      <c r="A53" s="137">
        <v>42059</v>
      </c>
      <c r="B53" s="136">
        <v>1.3334800000000002</v>
      </c>
      <c r="C53" s="134">
        <f t="shared" si="5"/>
        <v>2.7616438356164383E-3</v>
      </c>
      <c r="D53" s="134">
        <f t="shared" si="1"/>
        <v>1.3362416438356166</v>
      </c>
      <c r="E53" s="133"/>
      <c r="N53" s="137">
        <f t="shared" si="2"/>
        <v>42059</v>
      </c>
      <c r="O53" s="136">
        <v>1</v>
      </c>
      <c r="P53" s="134">
        <f t="shared" si="3"/>
        <v>2.7616438356164383E-3</v>
      </c>
      <c r="Q53" s="134">
        <f t="shared" si="4"/>
        <v>1.0027616438356164</v>
      </c>
      <c r="R53" s="133"/>
    </row>
    <row r="54" spans="1:18" x14ac:dyDescent="0.2">
      <c r="A54" s="137">
        <v>42058</v>
      </c>
      <c r="B54" s="136">
        <v>1.3280000000000001</v>
      </c>
      <c r="C54" s="134">
        <f t="shared" si="5"/>
        <v>2.6465753424657536E-3</v>
      </c>
      <c r="D54" s="134">
        <f t="shared" si="1"/>
        <v>1.3306465753424659</v>
      </c>
      <c r="E54" s="133"/>
      <c r="N54" s="137">
        <f t="shared" si="2"/>
        <v>42058</v>
      </c>
      <c r="O54" s="136">
        <v>1</v>
      </c>
      <c r="P54" s="134">
        <f t="shared" si="3"/>
        <v>2.6465753424657536E-3</v>
      </c>
      <c r="Q54" s="134">
        <f t="shared" si="4"/>
        <v>1.0026465753424658</v>
      </c>
      <c r="R54" s="133"/>
    </row>
    <row r="55" spans="1:18" x14ac:dyDescent="0.2">
      <c r="A55" s="137">
        <v>42055</v>
      </c>
      <c r="B55" s="136">
        <v>1.3175999999999999</v>
      </c>
      <c r="C55" s="134">
        <f t="shared" si="5"/>
        <v>2.3013698630136989E-3</v>
      </c>
      <c r="D55" s="134">
        <f t="shared" si="1"/>
        <v>1.3199013698630135</v>
      </c>
      <c r="E55" s="133"/>
      <c r="N55" s="137">
        <f t="shared" si="2"/>
        <v>42055</v>
      </c>
      <c r="O55" s="136">
        <v>1</v>
      </c>
      <c r="P55" s="134">
        <f t="shared" si="3"/>
        <v>2.3013698630136989E-3</v>
      </c>
      <c r="Q55" s="134">
        <f t="shared" si="4"/>
        <v>1.0023013698630137</v>
      </c>
      <c r="R55" s="133"/>
    </row>
    <row r="56" spans="1:18" x14ac:dyDescent="0.2">
      <c r="A56" s="137">
        <v>42054</v>
      </c>
      <c r="B56" s="136">
        <v>1.30928</v>
      </c>
      <c r="C56" s="134">
        <f t="shared" si="5"/>
        <v>2.1863013698630138E-3</v>
      </c>
      <c r="D56" s="134">
        <f t="shared" si="1"/>
        <v>1.3114663013698631</v>
      </c>
      <c r="E56" s="133"/>
      <c r="N56" s="137">
        <f t="shared" si="2"/>
        <v>42054</v>
      </c>
      <c r="O56" s="136">
        <v>1</v>
      </c>
      <c r="P56" s="134">
        <f t="shared" si="3"/>
        <v>2.1863013698630138E-3</v>
      </c>
      <c r="Q56" s="134">
        <f t="shared" si="4"/>
        <v>1.0021863013698631</v>
      </c>
      <c r="R56" s="133"/>
    </row>
    <row r="57" spans="1:18" x14ac:dyDescent="0.2">
      <c r="A57" s="137">
        <v>42053</v>
      </c>
      <c r="B57" s="136">
        <v>1.3100299999999998</v>
      </c>
      <c r="C57" s="134">
        <f t="shared" si="5"/>
        <v>2.0712328767123287E-3</v>
      </c>
      <c r="D57" s="134">
        <f t="shared" si="1"/>
        <v>1.3121012328767121</v>
      </c>
      <c r="E57" s="133"/>
      <c r="N57" s="137">
        <f t="shared" si="2"/>
        <v>42053</v>
      </c>
      <c r="O57" s="136">
        <v>1</v>
      </c>
      <c r="P57" s="134">
        <f t="shared" si="3"/>
        <v>2.0712328767123287E-3</v>
      </c>
      <c r="Q57" s="134">
        <f t="shared" si="4"/>
        <v>1.0020712328767123</v>
      </c>
      <c r="R57" s="133"/>
    </row>
    <row r="58" spans="1:18" x14ac:dyDescent="0.2">
      <c r="A58" s="137">
        <v>42052</v>
      </c>
      <c r="B58" s="136">
        <v>1.3059000000000001</v>
      </c>
      <c r="C58" s="134">
        <f t="shared" si="5"/>
        <v>1.9561643835616441E-3</v>
      </c>
      <c r="D58" s="134">
        <f t="shared" si="1"/>
        <v>1.3078561643835618</v>
      </c>
      <c r="E58" s="133"/>
      <c r="N58" s="137">
        <f t="shared" si="2"/>
        <v>42052</v>
      </c>
      <c r="O58" s="136">
        <v>1</v>
      </c>
      <c r="P58" s="134">
        <f t="shared" si="3"/>
        <v>1.9561643835616441E-3</v>
      </c>
      <c r="Q58" s="134">
        <f t="shared" si="4"/>
        <v>1.0019561643835617</v>
      </c>
      <c r="R58" s="133"/>
    </row>
    <row r="59" spans="1:18" x14ac:dyDescent="0.2">
      <c r="A59" s="137">
        <v>42051</v>
      </c>
      <c r="B59" s="136">
        <v>1.3069999999999999</v>
      </c>
      <c r="C59" s="134">
        <f t="shared" si="5"/>
        <v>1.841095890410959E-3</v>
      </c>
      <c r="D59" s="134">
        <f t="shared" si="1"/>
        <v>1.3088410958904109</v>
      </c>
      <c r="E59" s="133"/>
      <c r="N59" s="137">
        <f t="shared" si="2"/>
        <v>42051</v>
      </c>
      <c r="O59" s="136">
        <v>1</v>
      </c>
      <c r="P59" s="134">
        <f t="shared" si="3"/>
        <v>1.841095890410959E-3</v>
      </c>
      <c r="Q59" s="134">
        <f t="shared" si="4"/>
        <v>1.0018410958904109</v>
      </c>
      <c r="R59" s="133"/>
    </row>
    <row r="60" spans="1:18" x14ac:dyDescent="0.2">
      <c r="A60" s="137">
        <v>42048</v>
      </c>
      <c r="B60" s="136">
        <v>1.3112999999999999</v>
      </c>
      <c r="C60" s="134">
        <f t="shared" si="5"/>
        <v>1.4958904109589042E-3</v>
      </c>
      <c r="D60" s="134">
        <f t="shared" si="1"/>
        <v>1.3127958904109589</v>
      </c>
      <c r="E60" s="133"/>
      <c r="N60" s="137">
        <f t="shared" si="2"/>
        <v>42048</v>
      </c>
      <c r="O60" s="136">
        <v>1</v>
      </c>
      <c r="P60" s="134">
        <f t="shared" si="3"/>
        <v>1.4958904109589042E-3</v>
      </c>
      <c r="Q60" s="134">
        <f t="shared" si="4"/>
        <v>1.001495890410959</v>
      </c>
      <c r="R60" s="133"/>
    </row>
    <row r="61" spans="1:18" x14ac:dyDescent="0.2">
      <c r="A61" s="137">
        <v>42047</v>
      </c>
      <c r="B61" s="136">
        <v>1.29718</v>
      </c>
      <c r="C61" s="134">
        <f t="shared" si="5"/>
        <v>1.3808219178082191E-3</v>
      </c>
      <c r="D61" s="134">
        <f t="shared" si="1"/>
        <v>1.2985608219178082</v>
      </c>
      <c r="E61" s="133"/>
      <c r="N61" s="137">
        <f t="shared" si="2"/>
        <v>42047</v>
      </c>
      <c r="O61" s="136">
        <v>1</v>
      </c>
      <c r="P61" s="134">
        <f t="shared" si="3"/>
        <v>1.3808219178082191E-3</v>
      </c>
      <c r="Q61" s="134">
        <f t="shared" si="4"/>
        <v>1.0013808219178082</v>
      </c>
      <c r="R61" s="133"/>
    </row>
    <row r="62" spans="1:18" x14ac:dyDescent="0.2">
      <c r="A62" s="137">
        <v>42046</v>
      </c>
      <c r="B62" s="136">
        <v>1.2936000000000001</v>
      </c>
      <c r="C62" s="134">
        <f t="shared" si="5"/>
        <v>1.2657534246575343E-3</v>
      </c>
      <c r="D62" s="134">
        <f t="shared" si="1"/>
        <v>1.2948657534246577</v>
      </c>
      <c r="E62" s="133"/>
      <c r="N62" s="137">
        <f t="shared" si="2"/>
        <v>42046</v>
      </c>
      <c r="O62" s="136">
        <v>1</v>
      </c>
      <c r="P62" s="134">
        <f t="shared" si="3"/>
        <v>1.2657534246575343E-3</v>
      </c>
      <c r="Q62" s="134">
        <f t="shared" si="4"/>
        <v>1.0012657534246576</v>
      </c>
      <c r="R62" s="133"/>
    </row>
    <row r="63" spans="1:18" x14ac:dyDescent="0.2">
      <c r="A63" s="137">
        <v>42045</v>
      </c>
      <c r="B63" s="136">
        <v>1.30308</v>
      </c>
      <c r="C63" s="134">
        <f t="shared" si="5"/>
        <v>1.1506849315068494E-3</v>
      </c>
      <c r="D63" s="134">
        <f t="shared" si="1"/>
        <v>1.3042306849315068</v>
      </c>
      <c r="E63" s="133"/>
      <c r="N63" s="137">
        <f t="shared" si="2"/>
        <v>42045</v>
      </c>
      <c r="O63" s="136">
        <v>1</v>
      </c>
      <c r="P63" s="134">
        <f t="shared" si="3"/>
        <v>1.1506849315068494E-3</v>
      </c>
      <c r="Q63" s="134">
        <f t="shared" si="4"/>
        <v>1.0011506849315068</v>
      </c>
      <c r="R63" s="133"/>
    </row>
    <row r="64" spans="1:18" x14ac:dyDescent="0.2">
      <c r="A64" s="137">
        <v>42044</v>
      </c>
      <c r="B64" s="136">
        <v>1.3051699999999999</v>
      </c>
      <c r="C64" s="134">
        <f t="shared" si="5"/>
        <v>1.0356164383561644E-3</v>
      </c>
      <c r="D64" s="134">
        <f t="shared" si="1"/>
        <v>1.3062056164383562</v>
      </c>
      <c r="E64" s="133"/>
      <c r="N64" s="137">
        <f t="shared" si="2"/>
        <v>42044</v>
      </c>
      <c r="O64" s="136">
        <v>1</v>
      </c>
      <c r="P64" s="134">
        <f t="shared" si="3"/>
        <v>1.0356164383561644E-3</v>
      </c>
      <c r="Q64" s="134">
        <f t="shared" si="4"/>
        <v>1.0010356164383563</v>
      </c>
      <c r="R64" s="133"/>
    </row>
    <row r="65" spans="1:18" x14ac:dyDescent="0.2">
      <c r="A65" s="137">
        <v>42041</v>
      </c>
      <c r="B65" s="136">
        <v>1.3297800000000002</v>
      </c>
      <c r="C65" s="134">
        <f t="shared" si="5"/>
        <v>6.9041095890410957E-4</v>
      </c>
      <c r="D65" s="134">
        <f t="shared" si="1"/>
        <v>1.3304704109589043</v>
      </c>
      <c r="E65" s="133"/>
      <c r="N65" s="137">
        <f t="shared" si="2"/>
        <v>42041</v>
      </c>
      <c r="O65" s="136">
        <v>1</v>
      </c>
      <c r="P65" s="134">
        <f t="shared" si="3"/>
        <v>6.9041095890410957E-4</v>
      </c>
      <c r="Q65" s="134">
        <f t="shared" si="4"/>
        <v>1.0006904109589041</v>
      </c>
      <c r="R65" s="133"/>
    </row>
    <row r="66" spans="1:18" x14ac:dyDescent="0.2">
      <c r="A66" s="137">
        <v>42040</v>
      </c>
      <c r="B66" s="136">
        <v>1.33328</v>
      </c>
      <c r="C66" s="134">
        <f t="shared" si="5"/>
        <v>5.7534246575342471E-4</v>
      </c>
      <c r="D66" s="134">
        <f t="shared" si="1"/>
        <v>1.3338553424657535</v>
      </c>
      <c r="E66" s="133"/>
      <c r="N66" s="137">
        <f t="shared" si="2"/>
        <v>42040</v>
      </c>
      <c r="O66" s="136">
        <v>1</v>
      </c>
      <c r="P66" s="134">
        <f t="shared" si="3"/>
        <v>5.7534246575342471E-4</v>
      </c>
      <c r="Q66" s="134">
        <f t="shared" si="4"/>
        <v>1.0005753424657535</v>
      </c>
      <c r="R66" s="133"/>
    </row>
    <row r="67" spans="1:18" x14ac:dyDescent="0.2">
      <c r="A67" s="137">
        <v>42039</v>
      </c>
      <c r="B67" s="136">
        <v>1.3372999999999999</v>
      </c>
      <c r="C67" s="134">
        <f t="shared" si="5"/>
        <v>4.6027397260273975E-4</v>
      </c>
      <c r="D67" s="134">
        <f t="shared" si="1"/>
        <v>1.3377602739726027</v>
      </c>
      <c r="E67" s="133"/>
      <c r="N67" s="137">
        <f t="shared" si="2"/>
        <v>42039</v>
      </c>
      <c r="O67" s="136">
        <v>1</v>
      </c>
      <c r="P67" s="134">
        <f t="shared" si="3"/>
        <v>4.6027397260273975E-4</v>
      </c>
      <c r="Q67" s="134">
        <f t="shared" si="4"/>
        <v>1.0004602739726027</v>
      </c>
      <c r="R67" s="133"/>
    </row>
    <row r="68" spans="1:18" x14ac:dyDescent="0.2">
      <c r="A68" s="137">
        <v>42038</v>
      </c>
      <c r="B68" s="136">
        <v>1.33263</v>
      </c>
      <c r="C68" s="134">
        <f t="shared" si="5"/>
        <v>3.4520547945205479E-4</v>
      </c>
      <c r="D68" s="134">
        <f t="shared" si="1"/>
        <v>1.3329752054794521</v>
      </c>
      <c r="E68" s="133"/>
      <c r="N68" s="137">
        <f t="shared" si="2"/>
        <v>42038</v>
      </c>
      <c r="O68" s="136">
        <v>1</v>
      </c>
      <c r="P68" s="134">
        <f t="shared" si="3"/>
        <v>3.4520547945205479E-4</v>
      </c>
      <c r="Q68" s="134">
        <f t="shared" si="4"/>
        <v>1.0003452054794522</v>
      </c>
      <c r="R68" s="133"/>
    </row>
    <row r="69" spans="1:18" x14ac:dyDescent="0.2">
      <c r="A69" s="137">
        <v>42037</v>
      </c>
      <c r="B69" s="136">
        <v>1.3287</v>
      </c>
      <c r="C69" s="134">
        <f t="shared" si="5"/>
        <v>2.3013698630136987E-4</v>
      </c>
      <c r="D69" s="134">
        <f t="shared" si="1"/>
        <v>1.3289301369863014</v>
      </c>
      <c r="E69" s="133"/>
      <c r="N69" s="137">
        <f t="shared" si="2"/>
        <v>42037</v>
      </c>
      <c r="O69" s="136">
        <v>1</v>
      </c>
      <c r="P69" s="134">
        <f t="shared" si="3"/>
        <v>2.3013698630136987E-4</v>
      </c>
      <c r="Q69" s="134">
        <f t="shared" si="4"/>
        <v>1.0002301369863014</v>
      </c>
      <c r="R69" s="133"/>
    </row>
    <row r="70" spans="1:18" x14ac:dyDescent="0.2">
      <c r="A70" s="137">
        <v>42034</v>
      </c>
      <c r="B70" s="139">
        <v>1.3322499999999999</v>
      </c>
      <c r="C70" s="138">
        <f t="shared" ref="C70:C133" si="6">cuponbono*(A70-cupon2)/365</f>
        <v>4.1884931506849313E-2</v>
      </c>
      <c r="D70" s="138">
        <f t="shared" ref="D70:D133" si="7">C70+B70</f>
        <v>1.3741349315068492</v>
      </c>
      <c r="E70" s="133"/>
      <c r="N70" s="137">
        <f t="shared" ref="N70:N133" si="8">+A70</f>
        <v>42034</v>
      </c>
      <c r="O70" s="136">
        <v>1</v>
      </c>
      <c r="P70" s="134">
        <f t="shared" ref="P70:P133" si="9">+C70</f>
        <v>4.1884931506849313E-2</v>
      </c>
      <c r="Q70" s="134">
        <f t="shared" ref="Q70:Q133" si="10">P70+O70</f>
        <v>1.0418849315068492</v>
      </c>
      <c r="R70" s="133"/>
    </row>
    <row r="71" spans="1:18" x14ac:dyDescent="0.2">
      <c r="A71" s="137">
        <v>42033</v>
      </c>
      <c r="B71" s="136">
        <v>1.3295699999999999</v>
      </c>
      <c r="C71" s="134">
        <f t="shared" si="6"/>
        <v>4.176986301369863E-2</v>
      </c>
      <c r="D71" s="134">
        <f t="shared" si="7"/>
        <v>1.3713398630136986</v>
      </c>
      <c r="E71" s="133"/>
      <c r="N71" s="137">
        <f t="shared" si="8"/>
        <v>42033</v>
      </c>
      <c r="O71" s="136">
        <v>1</v>
      </c>
      <c r="P71" s="134">
        <f t="shared" si="9"/>
        <v>4.176986301369863E-2</v>
      </c>
      <c r="Q71" s="134">
        <f t="shared" si="10"/>
        <v>1.0417698630136987</v>
      </c>
      <c r="R71" s="133"/>
    </row>
    <row r="72" spans="1:18" x14ac:dyDescent="0.2">
      <c r="A72" s="137">
        <v>42032</v>
      </c>
      <c r="B72" s="136">
        <v>1.339</v>
      </c>
      <c r="C72" s="134">
        <f t="shared" si="6"/>
        <v>4.1654794520547947E-2</v>
      </c>
      <c r="D72" s="134">
        <f t="shared" si="7"/>
        <v>1.3806547945205478</v>
      </c>
      <c r="E72" s="133"/>
      <c r="N72" s="137">
        <f t="shared" si="8"/>
        <v>42032</v>
      </c>
      <c r="O72" s="136">
        <v>1</v>
      </c>
      <c r="P72" s="134">
        <f t="shared" si="9"/>
        <v>4.1654794520547947E-2</v>
      </c>
      <c r="Q72" s="134">
        <f t="shared" si="10"/>
        <v>1.0416547945205479</v>
      </c>
      <c r="R72" s="133"/>
    </row>
    <row r="73" spans="1:18" x14ac:dyDescent="0.2">
      <c r="A73" s="137">
        <v>42031</v>
      </c>
      <c r="B73" s="136">
        <v>1.35538</v>
      </c>
      <c r="C73" s="134">
        <f t="shared" si="6"/>
        <v>4.1539726027397264E-2</v>
      </c>
      <c r="D73" s="134">
        <f t="shared" si="7"/>
        <v>1.3969197260273973</v>
      </c>
      <c r="E73" s="133"/>
      <c r="N73" s="137">
        <f t="shared" si="8"/>
        <v>42031</v>
      </c>
      <c r="O73" s="136">
        <v>1</v>
      </c>
      <c r="P73" s="134">
        <f t="shared" si="9"/>
        <v>4.1539726027397264E-2</v>
      </c>
      <c r="Q73" s="134">
        <f t="shared" si="10"/>
        <v>1.0415397260273973</v>
      </c>
      <c r="R73" s="133"/>
    </row>
    <row r="74" spans="1:18" x14ac:dyDescent="0.2">
      <c r="A74" s="137">
        <v>42030</v>
      </c>
      <c r="B74" s="136">
        <v>1.3653299999999999</v>
      </c>
      <c r="C74" s="134">
        <f t="shared" si="6"/>
        <v>4.1424657534246581E-2</v>
      </c>
      <c r="D74" s="134">
        <f t="shared" si="7"/>
        <v>1.4067546575342464</v>
      </c>
      <c r="E74" s="133"/>
      <c r="N74" s="137">
        <f t="shared" si="8"/>
        <v>42030</v>
      </c>
      <c r="O74" s="136">
        <v>1</v>
      </c>
      <c r="P74" s="134">
        <f t="shared" si="9"/>
        <v>4.1424657534246581E-2</v>
      </c>
      <c r="Q74" s="134">
        <f t="shared" si="10"/>
        <v>1.0414246575342465</v>
      </c>
      <c r="R74" s="133"/>
    </row>
    <row r="75" spans="1:18" x14ac:dyDescent="0.2">
      <c r="A75" s="137">
        <v>42027</v>
      </c>
      <c r="B75" s="136">
        <v>1.3471799999999998</v>
      </c>
      <c r="C75" s="134">
        <f t="shared" si="6"/>
        <v>4.1079452054794525E-2</v>
      </c>
      <c r="D75" s="134">
        <f t="shared" si="7"/>
        <v>1.3882594520547944</v>
      </c>
      <c r="E75" s="133"/>
      <c r="N75" s="137">
        <f t="shared" si="8"/>
        <v>42027</v>
      </c>
      <c r="O75" s="136">
        <v>1</v>
      </c>
      <c r="P75" s="134">
        <f t="shared" si="9"/>
        <v>4.1079452054794525E-2</v>
      </c>
      <c r="Q75" s="134">
        <f t="shared" si="10"/>
        <v>1.0410794520547946</v>
      </c>
      <c r="R75" s="133"/>
    </row>
    <row r="76" spans="1:18" x14ac:dyDescent="0.2">
      <c r="A76" s="137">
        <v>42026</v>
      </c>
      <c r="B76" s="136">
        <v>1.31332</v>
      </c>
      <c r="C76" s="134">
        <f t="shared" si="6"/>
        <v>4.0964383561643843E-2</v>
      </c>
      <c r="D76" s="134">
        <f t="shared" si="7"/>
        <v>1.3542843835616438</v>
      </c>
      <c r="E76" s="133"/>
      <c r="N76" s="137">
        <f t="shared" si="8"/>
        <v>42026</v>
      </c>
      <c r="O76" s="136">
        <v>1</v>
      </c>
      <c r="P76" s="134">
        <f t="shared" si="9"/>
        <v>4.0964383561643843E-2</v>
      </c>
      <c r="Q76" s="134">
        <f t="shared" si="10"/>
        <v>1.0409643835616438</v>
      </c>
      <c r="R76" s="133"/>
    </row>
    <row r="77" spans="1:18" x14ac:dyDescent="0.2">
      <c r="A77" s="137">
        <v>42025</v>
      </c>
      <c r="B77" s="136">
        <v>1.2643300000000002</v>
      </c>
      <c r="C77" s="134">
        <f t="shared" si="6"/>
        <v>4.0849315068493153E-2</v>
      </c>
      <c r="D77" s="134">
        <f t="shared" si="7"/>
        <v>1.3051793150684934</v>
      </c>
      <c r="E77" s="133"/>
      <c r="N77" s="137">
        <f t="shared" si="8"/>
        <v>42025</v>
      </c>
      <c r="O77" s="136">
        <v>1</v>
      </c>
      <c r="P77" s="134">
        <f t="shared" si="9"/>
        <v>4.0849315068493153E-2</v>
      </c>
      <c r="Q77" s="134">
        <f t="shared" si="10"/>
        <v>1.0408493150684932</v>
      </c>
      <c r="R77" s="133"/>
    </row>
    <row r="78" spans="1:18" x14ac:dyDescent="0.2">
      <c r="A78" s="137">
        <v>42024</v>
      </c>
      <c r="B78" s="136">
        <v>1.27213</v>
      </c>
      <c r="C78" s="134">
        <f t="shared" si="6"/>
        <v>4.073424657534247E-2</v>
      </c>
      <c r="D78" s="134">
        <f t="shared" si="7"/>
        <v>1.3128642465753424</v>
      </c>
      <c r="E78" s="133"/>
      <c r="N78" s="137">
        <f t="shared" si="8"/>
        <v>42024</v>
      </c>
      <c r="O78" s="136">
        <v>1</v>
      </c>
      <c r="P78" s="134">
        <f t="shared" si="9"/>
        <v>4.073424657534247E-2</v>
      </c>
      <c r="Q78" s="134">
        <f t="shared" si="10"/>
        <v>1.0407342465753424</v>
      </c>
      <c r="R78" s="133"/>
    </row>
    <row r="79" spans="1:18" x14ac:dyDescent="0.2">
      <c r="A79" s="137">
        <v>42023</v>
      </c>
      <c r="B79" s="136">
        <v>1.27352</v>
      </c>
      <c r="C79" s="134">
        <f t="shared" si="6"/>
        <v>4.061917808219178E-2</v>
      </c>
      <c r="D79" s="134">
        <f t="shared" si="7"/>
        <v>1.3141391780821918</v>
      </c>
      <c r="E79" s="133"/>
      <c r="N79" s="137">
        <f t="shared" si="8"/>
        <v>42023</v>
      </c>
      <c r="O79" s="136">
        <v>1</v>
      </c>
      <c r="P79" s="134">
        <f t="shared" si="9"/>
        <v>4.061917808219178E-2</v>
      </c>
      <c r="Q79" s="134">
        <f t="shared" si="10"/>
        <v>1.0406191780821918</v>
      </c>
      <c r="R79" s="133"/>
    </row>
    <row r="80" spans="1:18" x14ac:dyDescent="0.2">
      <c r="A80" s="137">
        <v>42020</v>
      </c>
      <c r="B80" s="136">
        <v>1.2721</v>
      </c>
      <c r="C80" s="134">
        <f t="shared" si="6"/>
        <v>4.0273972602739731E-2</v>
      </c>
      <c r="D80" s="134">
        <f t="shared" si="7"/>
        <v>1.3123739726027397</v>
      </c>
      <c r="E80" s="133"/>
      <c r="N80" s="137">
        <f t="shared" si="8"/>
        <v>42020</v>
      </c>
      <c r="O80" s="136">
        <v>1</v>
      </c>
      <c r="P80" s="134">
        <f t="shared" si="9"/>
        <v>4.0273972602739731E-2</v>
      </c>
      <c r="Q80" s="134">
        <f t="shared" si="10"/>
        <v>1.0402739726027397</v>
      </c>
      <c r="R80" s="133"/>
    </row>
    <row r="81" spans="1:18" x14ac:dyDescent="0.2">
      <c r="A81" s="137">
        <v>42019</v>
      </c>
      <c r="B81" s="136">
        <v>1.25145</v>
      </c>
      <c r="C81" s="134">
        <f t="shared" si="6"/>
        <v>4.0158904109589041E-2</v>
      </c>
      <c r="D81" s="134">
        <f t="shared" si="7"/>
        <v>1.2916089041095891</v>
      </c>
      <c r="E81" s="133"/>
      <c r="N81" s="137">
        <f t="shared" si="8"/>
        <v>42019</v>
      </c>
      <c r="O81" s="136">
        <v>1</v>
      </c>
      <c r="P81" s="134">
        <f t="shared" si="9"/>
        <v>4.0158904109589041E-2</v>
      </c>
      <c r="Q81" s="134">
        <f t="shared" si="10"/>
        <v>1.0401589041095891</v>
      </c>
      <c r="R81" s="133"/>
    </row>
    <row r="82" spans="1:18" x14ac:dyDescent="0.2">
      <c r="A82" s="137">
        <v>42018</v>
      </c>
      <c r="B82" s="136">
        <v>1.25637</v>
      </c>
      <c r="C82" s="134">
        <f t="shared" si="6"/>
        <v>4.0043835616438359E-2</v>
      </c>
      <c r="D82" s="134">
        <f t="shared" si="7"/>
        <v>1.2964138356164383</v>
      </c>
      <c r="E82" s="133"/>
      <c r="N82" s="137">
        <f t="shared" si="8"/>
        <v>42018</v>
      </c>
      <c r="O82" s="136">
        <v>1</v>
      </c>
      <c r="P82" s="134">
        <f t="shared" si="9"/>
        <v>4.0043835616438359E-2</v>
      </c>
      <c r="Q82" s="134">
        <f t="shared" si="10"/>
        <v>1.0400438356164383</v>
      </c>
      <c r="R82" s="133"/>
    </row>
    <row r="83" spans="1:18" x14ac:dyDescent="0.2">
      <c r="A83" s="137">
        <v>42017</v>
      </c>
      <c r="B83" s="136">
        <v>1.2502</v>
      </c>
      <c r="C83" s="134">
        <f t="shared" si="6"/>
        <v>3.9928767123287676E-2</v>
      </c>
      <c r="D83" s="134">
        <f t="shared" si="7"/>
        <v>1.2901287671232877</v>
      </c>
      <c r="E83" s="133"/>
      <c r="N83" s="137">
        <f t="shared" si="8"/>
        <v>42017</v>
      </c>
      <c r="O83" s="136">
        <v>1</v>
      </c>
      <c r="P83" s="134">
        <f t="shared" si="9"/>
        <v>3.9928767123287676E-2</v>
      </c>
      <c r="Q83" s="134">
        <f t="shared" si="10"/>
        <v>1.0399287671232877</v>
      </c>
      <c r="R83" s="133"/>
    </row>
    <row r="84" spans="1:18" x14ac:dyDescent="0.2">
      <c r="A84" s="137">
        <v>42016</v>
      </c>
      <c r="B84" s="136">
        <v>1.25227</v>
      </c>
      <c r="C84" s="134">
        <f t="shared" si="6"/>
        <v>3.9813698630136986E-2</v>
      </c>
      <c r="D84" s="134">
        <f t="shared" si="7"/>
        <v>1.2920836986301369</v>
      </c>
      <c r="E84" s="133"/>
      <c r="N84" s="137">
        <f t="shared" si="8"/>
        <v>42016</v>
      </c>
      <c r="O84" s="136">
        <v>1</v>
      </c>
      <c r="P84" s="134">
        <f t="shared" si="9"/>
        <v>3.9813698630136986E-2</v>
      </c>
      <c r="Q84" s="134">
        <f t="shared" si="10"/>
        <v>1.039813698630137</v>
      </c>
      <c r="R84" s="133"/>
    </row>
    <row r="85" spans="1:18" x14ac:dyDescent="0.2">
      <c r="A85" s="137">
        <v>42013</v>
      </c>
      <c r="B85" s="136">
        <v>1.2363500000000001</v>
      </c>
      <c r="C85" s="134">
        <f t="shared" si="6"/>
        <v>3.946849315068493E-2</v>
      </c>
      <c r="D85" s="134">
        <f t="shared" si="7"/>
        <v>1.2758184931506851</v>
      </c>
      <c r="E85" s="133"/>
      <c r="N85" s="137">
        <f t="shared" si="8"/>
        <v>42013</v>
      </c>
      <c r="O85" s="136">
        <v>1</v>
      </c>
      <c r="P85" s="134">
        <f t="shared" si="9"/>
        <v>3.946849315068493E-2</v>
      </c>
      <c r="Q85" s="134">
        <f t="shared" si="10"/>
        <v>1.039468493150685</v>
      </c>
      <c r="R85" s="133"/>
    </row>
    <row r="86" spans="1:18" x14ac:dyDescent="0.2">
      <c r="A86" s="137">
        <v>42012</v>
      </c>
      <c r="B86" s="136">
        <v>1.24743</v>
      </c>
      <c r="C86" s="134">
        <f t="shared" si="6"/>
        <v>3.9353424657534247E-2</v>
      </c>
      <c r="D86" s="134">
        <f t="shared" si="7"/>
        <v>1.2867834246575343</v>
      </c>
      <c r="E86" s="133"/>
      <c r="N86" s="137">
        <f t="shared" si="8"/>
        <v>42012</v>
      </c>
      <c r="O86" s="136">
        <v>1</v>
      </c>
      <c r="P86" s="134">
        <f t="shared" si="9"/>
        <v>3.9353424657534247E-2</v>
      </c>
      <c r="Q86" s="134">
        <f t="shared" si="10"/>
        <v>1.0393534246575342</v>
      </c>
      <c r="R86" s="133"/>
    </row>
    <row r="87" spans="1:18" x14ac:dyDescent="0.2">
      <c r="A87" s="137">
        <v>42011</v>
      </c>
      <c r="B87" s="136">
        <v>1.24495</v>
      </c>
      <c r="C87" s="134">
        <f t="shared" si="6"/>
        <v>3.9238356164383564E-2</v>
      </c>
      <c r="D87" s="134">
        <f t="shared" si="7"/>
        <v>1.2841883561643836</v>
      </c>
      <c r="E87" s="133"/>
      <c r="N87" s="137">
        <f t="shared" si="8"/>
        <v>42011</v>
      </c>
      <c r="O87" s="136">
        <v>1</v>
      </c>
      <c r="P87" s="134">
        <f t="shared" si="9"/>
        <v>3.9238356164383564E-2</v>
      </c>
      <c r="Q87" s="134">
        <f t="shared" si="10"/>
        <v>1.0392383561643836</v>
      </c>
      <c r="R87" s="133"/>
    </row>
    <row r="88" spans="1:18" x14ac:dyDescent="0.2">
      <c r="A88" s="137">
        <v>42010</v>
      </c>
      <c r="B88" s="136">
        <v>1.2558</v>
      </c>
      <c r="C88" s="134">
        <f t="shared" si="6"/>
        <v>3.9123287671232881E-2</v>
      </c>
      <c r="D88" s="134">
        <f t="shared" si="7"/>
        <v>1.2949232876712329</v>
      </c>
      <c r="E88" s="133"/>
      <c r="N88" s="137">
        <f t="shared" si="8"/>
        <v>42010</v>
      </c>
      <c r="O88" s="136">
        <v>1</v>
      </c>
      <c r="P88" s="134">
        <f t="shared" si="9"/>
        <v>3.9123287671232881E-2</v>
      </c>
      <c r="Q88" s="134">
        <f t="shared" si="10"/>
        <v>1.0391232876712329</v>
      </c>
      <c r="R88" s="133"/>
    </row>
    <row r="89" spans="1:18" x14ac:dyDescent="0.2">
      <c r="A89" s="137">
        <v>42009</v>
      </c>
      <c r="B89" s="136">
        <v>1.25213</v>
      </c>
      <c r="C89" s="134">
        <f t="shared" si="6"/>
        <v>3.9008219178082199E-2</v>
      </c>
      <c r="D89" s="134">
        <f t="shared" si="7"/>
        <v>1.2911382191780822</v>
      </c>
      <c r="E89" s="133"/>
      <c r="N89" s="137">
        <f t="shared" si="8"/>
        <v>42009</v>
      </c>
      <c r="O89" s="136">
        <v>1</v>
      </c>
      <c r="P89" s="134">
        <f t="shared" si="9"/>
        <v>3.9008219178082199E-2</v>
      </c>
      <c r="Q89" s="134">
        <f t="shared" si="10"/>
        <v>1.0390082191780823</v>
      </c>
      <c r="R89" s="133"/>
    </row>
    <row r="90" spans="1:18" x14ac:dyDescent="0.2">
      <c r="A90" s="137">
        <v>42006</v>
      </c>
      <c r="B90" s="136">
        <v>1.2675799999999999</v>
      </c>
      <c r="C90" s="134">
        <f t="shared" si="6"/>
        <v>3.8663013698630136E-2</v>
      </c>
      <c r="D90" s="134">
        <f t="shared" si="7"/>
        <v>1.3062430136986301</v>
      </c>
      <c r="E90" s="133"/>
      <c r="N90" s="137">
        <f t="shared" si="8"/>
        <v>42006</v>
      </c>
      <c r="O90" s="136">
        <v>1</v>
      </c>
      <c r="P90" s="134">
        <f t="shared" si="9"/>
        <v>3.8663013698630136E-2</v>
      </c>
      <c r="Q90" s="134">
        <f t="shared" si="10"/>
        <v>1.0386630136986301</v>
      </c>
      <c r="R90" s="133"/>
    </row>
    <row r="91" spans="1:18" x14ac:dyDescent="0.2">
      <c r="A91" s="137">
        <v>42005</v>
      </c>
      <c r="B91" s="136">
        <v>1.2561499999999999</v>
      </c>
      <c r="C91" s="134">
        <f t="shared" si="6"/>
        <v>3.8547945205479453E-2</v>
      </c>
      <c r="D91" s="134">
        <f t="shared" si="7"/>
        <v>1.2946979452054794</v>
      </c>
      <c r="E91" s="133"/>
      <c r="N91" s="137">
        <f t="shared" si="8"/>
        <v>42005</v>
      </c>
      <c r="O91" s="136">
        <v>1</v>
      </c>
      <c r="P91" s="134">
        <f t="shared" si="9"/>
        <v>3.8547945205479453E-2</v>
      </c>
      <c r="Q91" s="134">
        <f t="shared" si="10"/>
        <v>1.0385479452054796</v>
      </c>
      <c r="R91" s="133"/>
    </row>
    <row r="92" spans="1:18" x14ac:dyDescent="0.2">
      <c r="A92" s="137">
        <v>42004</v>
      </c>
      <c r="B92" s="136">
        <v>1.2561499999999999</v>
      </c>
      <c r="C92" s="134">
        <f t="shared" si="6"/>
        <v>3.843287671232877E-2</v>
      </c>
      <c r="D92" s="134">
        <f t="shared" si="7"/>
        <v>1.2945828767123286</v>
      </c>
      <c r="E92" s="133"/>
      <c r="N92" s="137">
        <f t="shared" si="8"/>
        <v>42004</v>
      </c>
      <c r="O92" s="136">
        <v>1</v>
      </c>
      <c r="P92" s="134">
        <f t="shared" si="9"/>
        <v>3.843287671232877E-2</v>
      </c>
      <c r="Q92" s="134">
        <f t="shared" si="10"/>
        <v>1.0384328767123288</v>
      </c>
      <c r="R92" s="133"/>
    </row>
    <row r="93" spans="1:18" x14ac:dyDescent="0.2">
      <c r="A93" s="137">
        <v>42003</v>
      </c>
      <c r="B93" s="136">
        <v>1.2548300000000001</v>
      </c>
      <c r="C93" s="134">
        <f t="shared" si="6"/>
        <v>3.8317808219178087E-2</v>
      </c>
      <c r="D93" s="134">
        <f t="shared" si="7"/>
        <v>1.2931478082191783</v>
      </c>
      <c r="E93" s="133"/>
      <c r="N93" s="137">
        <f t="shared" si="8"/>
        <v>42003</v>
      </c>
      <c r="O93" s="136">
        <v>1</v>
      </c>
      <c r="P93" s="134">
        <f t="shared" si="9"/>
        <v>3.8317808219178087E-2</v>
      </c>
      <c r="Q93" s="134">
        <f t="shared" si="10"/>
        <v>1.0383178082191782</v>
      </c>
      <c r="R93" s="133"/>
    </row>
    <row r="94" spans="1:18" x14ac:dyDescent="0.2">
      <c r="A94" s="137">
        <v>42002</v>
      </c>
      <c r="B94" s="136">
        <v>1.2481800000000001</v>
      </c>
      <c r="C94" s="134">
        <f t="shared" si="6"/>
        <v>3.8202739726027397E-2</v>
      </c>
      <c r="D94" s="134">
        <f t="shared" si="7"/>
        <v>1.2863827397260275</v>
      </c>
      <c r="E94" s="133"/>
      <c r="N94" s="137">
        <f t="shared" si="8"/>
        <v>42002</v>
      </c>
      <c r="O94" s="136">
        <v>1</v>
      </c>
      <c r="P94" s="134">
        <f t="shared" si="9"/>
        <v>3.8202739726027397E-2</v>
      </c>
      <c r="Q94" s="134">
        <f t="shared" si="10"/>
        <v>1.0382027397260274</v>
      </c>
      <c r="R94" s="133"/>
    </row>
    <row r="95" spans="1:18" x14ac:dyDescent="0.2">
      <c r="A95" s="137">
        <v>41999</v>
      </c>
      <c r="B95" s="136">
        <v>1.2459</v>
      </c>
      <c r="C95" s="134">
        <f t="shared" si="6"/>
        <v>3.7857534246575349E-2</v>
      </c>
      <c r="D95" s="134">
        <f t="shared" si="7"/>
        <v>1.2837575342465755</v>
      </c>
      <c r="E95" s="133"/>
      <c r="N95" s="137">
        <f t="shared" si="8"/>
        <v>41999</v>
      </c>
      <c r="O95" s="136">
        <v>1</v>
      </c>
      <c r="P95" s="134">
        <f t="shared" si="9"/>
        <v>3.7857534246575349E-2</v>
      </c>
      <c r="Q95" s="134">
        <f t="shared" si="10"/>
        <v>1.0378575342465755</v>
      </c>
      <c r="R95" s="133"/>
    </row>
    <row r="96" spans="1:18" x14ac:dyDescent="0.2">
      <c r="A96" s="137">
        <v>41998</v>
      </c>
      <c r="B96" s="136">
        <v>1.2459</v>
      </c>
      <c r="C96" s="134">
        <f t="shared" si="6"/>
        <v>3.7742465753424659E-2</v>
      </c>
      <c r="D96" s="134">
        <f t="shared" si="7"/>
        <v>1.2836424657534247</v>
      </c>
      <c r="E96" s="133"/>
      <c r="N96" s="137">
        <f t="shared" si="8"/>
        <v>41998</v>
      </c>
      <c r="O96" s="136">
        <v>1</v>
      </c>
      <c r="P96" s="134">
        <f t="shared" si="9"/>
        <v>3.7742465753424659E-2</v>
      </c>
      <c r="Q96" s="134">
        <f t="shared" si="10"/>
        <v>1.0377424657534247</v>
      </c>
      <c r="R96" s="133"/>
    </row>
    <row r="97" spans="1:18" x14ac:dyDescent="0.2">
      <c r="A97" s="137">
        <v>41997</v>
      </c>
      <c r="B97" s="136">
        <v>1.2459</v>
      </c>
      <c r="C97" s="134">
        <f t="shared" si="6"/>
        <v>3.7627397260273976E-2</v>
      </c>
      <c r="D97" s="134">
        <f t="shared" si="7"/>
        <v>1.2835273972602739</v>
      </c>
      <c r="E97" s="133"/>
      <c r="N97" s="137">
        <f t="shared" si="8"/>
        <v>41997</v>
      </c>
      <c r="O97" s="136">
        <v>1</v>
      </c>
      <c r="P97" s="134">
        <f t="shared" si="9"/>
        <v>3.7627397260273976E-2</v>
      </c>
      <c r="Q97" s="134">
        <f t="shared" si="10"/>
        <v>1.0376273972602741</v>
      </c>
      <c r="R97" s="133"/>
    </row>
    <row r="98" spans="1:18" x14ac:dyDescent="0.2">
      <c r="A98" s="137">
        <v>41996</v>
      </c>
      <c r="B98" s="136">
        <v>1.24638</v>
      </c>
      <c r="C98" s="134">
        <f t="shared" si="6"/>
        <v>3.7512328767123286E-2</v>
      </c>
      <c r="D98" s="134">
        <f t="shared" si="7"/>
        <v>1.2838923287671233</v>
      </c>
      <c r="E98" s="133"/>
      <c r="N98" s="137">
        <f t="shared" si="8"/>
        <v>41996</v>
      </c>
      <c r="O98" s="136">
        <v>1</v>
      </c>
      <c r="P98" s="134">
        <f t="shared" si="9"/>
        <v>3.7512328767123286E-2</v>
      </c>
      <c r="Q98" s="134">
        <f t="shared" si="10"/>
        <v>1.0375123287671233</v>
      </c>
      <c r="R98" s="133"/>
    </row>
    <row r="99" spans="1:18" x14ac:dyDescent="0.2">
      <c r="A99" s="137">
        <v>41995</v>
      </c>
      <c r="B99" s="136">
        <v>1.2464</v>
      </c>
      <c r="C99" s="134">
        <f t="shared" si="6"/>
        <v>3.7397260273972603E-2</v>
      </c>
      <c r="D99" s="134">
        <f t="shared" si="7"/>
        <v>1.2837972602739725</v>
      </c>
      <c r="E99" s="133"/>
      <c r="N99" s="137">
        <f t="shared" si="8"/>
        <v>41995</v>
      </c>
      <c r="O99" s="136">
        <v>1</v>
      </c>
      <c r="P99" s="134">
        <f t="shared" si="9"/>
        <v>3.7397260273972603E-2</v>
      </c>
      <c r="Q99" s="134">
        <f t="shared" si="10"/>
        <v>1.0373972602739725</v>
      </c>
      <c r="R99" s="133"/>
    </row>
    <row r="100" spans="1:18" x14ac:dyDescent="0.2">
      <c r="A100" s="137">
        <v>41992</v>
      </c>
      <c r="B100" s="136">
        <v>1.2388299999999999</v>
      </c>
      <c r="C100" s="134">
        <f t="shared" si="6"/>
        <v>3.7052054794520548E-2</v>
      </c>
      <c r="D100" s="134">
        <f t="shared" si="7"/>
        <v>1.2758820547945204</v>
      </c>
      <c r="E100" s="133"/>
      <c r="N100" s="137">
        <f t="shared" si="8"/>
        <v>41992</v>
      </c>
      <c r="O100" s="136">
        <v>1</v>
      </c>
      <c r="P100" s="134">
        <f t="shared" si="9"/>
        <v>3.7052054794520548E-2</v>
      </c>
      <c r="Q100" s="134">
        <f t="shared" si="10"/>
        <v>1.0370520547945206</v>
      </c>
      <c r="R100" s="133"/>
    </row>
    <row r="101" spans="1:18" x14ac:dyDescent="0.2">
      <c r="A101" s="137">
        <v>41991</v>
      </c>
      <c r="B101" s="136">
        <v>1.23292</v>
      </c>
      <c r="C101" s="134">
        <f t="shared" si="6"/>
        <v>3.6936986301369865E-2</v>
      </c>
      <c r="D101" s="134">
        <f t="shared" si="7"/>
        <v>1.2698569863013698</v>
      </c>
      <c r="E101" s="133"/>
      <c r="N101" s="137">
        <f t="shared" si="8"/>
        <v>41991</v>
      </c>
      <c r="O101" s="136">
        <v>1</v>
      </c>
      <c r="P101" s="134">
        <f t="shared" si="9"/>
        <v>3.6936986301369865E-2</v>
      </c>
      <c r="Q101" s="134">
        <f t="shared" si="10"/>
        <v>1.0369369863013698</v>
      </c>
      <c r="R101" s="133"/>
    </row>
    <row r="102" spans="1:18" x14ac:dyDescent="0.2">
      <c r="A102" s="137">
        <v>41990</v>
      </c>
      <c r="B102" s="136">
        <v>1.2254499999999999</v>
      </c>
      <c r="C102" s="134">
        <f t="shared" si="6"/>
        <v>3.6821917808219182E-2</v>
      </c>
      <c r="D102" s="134">
        <f t="shared" si="7"/>
        <v>1.2622719178082191</v>
      </c>
      <c r="E102" s="133"/>
      <c r="N102" s="137">
        <f t="shared" si="8"/>
        <v>41990</v>
      </c>
      <c r="O102" s="136">
        <v>1</v>
      </c>
      <c r="P102" s="134">
        <f t="shared" si="9"/>
        <v>3.6821917808219182E-2</v>
      </c>
      <c r="Q102" s="134">
        <f t="shared" si="10"/>
        <v>1.0368219178082192</v>
      </c>
      <c r="R102" s="133"/>
    </row>
    <row r="103" spans="1:18" x14ac:dyDescent="0.2">
      <c r="A103" s="137">
        <v>41989</v>
      </c>
      <c r="B103" s="136">
        <v>1.22123</v>
      </c>
      <c r="C103" s="134">
        <f t="shared" si="6"/>
        <v>3.6706849315068499E-2</v>
      </c>
      <c r="D103" s="134">
        <f t="shared" si="7"/>
        <v>1.2579368493150684</v>
      </c>
      <c r="E103" s="133"/>
      <c r="N103" s="137">
        <f t="shared" si="8"/>
        <v>41989</v>
      </c>
      <c r="O103" s="136">
        <v>1</v>
      </c>
      <c r="P103" s="134">
        <f t="shared" si="9"/>
        <v>3.6706849315068499E-2</v>
      </c>
      <c r="Q103" s="134">
        <f t="shared" si="10"/>
        <v>1.0367068493150684</v>
      </c>
      <c r="R103" s="133"/>
    </row>
    <row r="104" spans="1:18" x14ac:dyDescent="0.2">
      <c r="A104" s="137">
        <v>41988</v>
      </c>
      <c r="B104" s="136">
        <v>1.2221</v>
      </c>
      <c r="C104" s="134">
        <f t="shared" si="6"/>
        <v>3.6591780821917816E-2</v>
      </c>
      <c r="D104" s="134">
        <f t="shared" si="7"/>
        <v>1.2586917808219178</v>
      </c>
      <c r="E104" s="133"/>
      <c r="N104" s="137">
        <f t="shared" si="8"/>
        <v>41988</v>
      </c>
      <c r="O104" s="136">
        <v>1</v>
      </c>
      <c r="P104" s="134">
        <f t="shared" si="9"/>
        <v>3.6591780821917816E-2</v>
      </c>
      <c r="Q104" s="134">
        <f t="shared" si="10"/>
        <v>1.0365917808219178</v>
      </c>
      <c r="R104" s="133"/>
    </row>
    <row r="105" spans="1:18" x14ac:dyDescent="0.2">
      <c r="A105" s="137">
        <v>41985</v>
      </c>
      <c r="B105" s="136">
        <v>1.2051000000000001</v>
      </c>
      <c r="C105" s="134">
        <f t="shared" si="6"/>
        <v>3.6246575342465753E-2</v>
      </c>
      <c r="D105" s="134">
        <f t="shared" si="7"/>
        <v>1.2413465753424657</v>
      </c>
      <c r="E105" s="133"/>
      <c r="N105" s="137">
        <f t="shared" si="8"/>
        <v>41985</v>
      </c>
      <c r="O105" s="136">
        <v>1</v>
      </c>
      <c r="P105" s="134">
        <f t="shared" si="9"/>
        <v>3.6246575342465753E-2</v>
      </c>
      <c r="Q105" s="134">
        <f t="shared" si="10"/>
        <v>1.0362465753424657</v>
      </c>
      <c r="R105" s="133"/>
    </row>
    <row r="106" spans="1:18" x14ac:dyDescent="0.2">
      <c r="A106" s="137">
        <v>41984</v>
      </c>
      <c r="B106" s="136">
        <v>1.206</v>
      </c>
      <c r="C106" s="134">
        <f t="shared" si="6"/>
        <v>3.613150684931507E-2</v>
      </c>
      <c r="D106" s="134">
        <f t="shared" si="7"/>
        <v>1.2421315068493151</v>
      </c>
      <c r="E106" s="133"/>
      <c r="N106" s="137">
        <f t="shared" si="8"/>
        <v>41984</v>
      </c>
      <c r="O106" s="136">
        <v>1</v>
      </c>
      <c r="P106" s="134">
        <f t="shared" si="9"/>
        <v>3.613150684931507E-2</v>
      </c>
      <c r="Q106" s="134">
        <f t="shared" si="10"/>
        <v>1.0361315068493151</v>
      </c>
      <c r="R106" s="133"/>
    </row>
    <row r="107" spans="1:18" x14ac:dyDescent="0.2">
      <c r="A107" s="137">
        <v>41983</v>
      </c>
      <c r="B107" s="136">
        <v>1.2112000000000001</v>
      </c>
      <c r="C107" s="134">
        <f t="shared" si="6"/>
        <v>3.6016438356164387E-2</v>
      </c>
      <c r="D107" s="134">
        <f t="shared" si="7"/>
        <v>1.2472164383561644</v>
      </c>
      <c r="E107" s="133"/>
      <c r="N107" s="137">
        <f t="shared" si="8"/>
        <v>41983</v>
      </c>
      <c r="O107" s="136">
        <v>1</v>
      </c>
      <c r="P107" s="134">
        <f t="shared" si="9"/>
        <v>3.6016438356164387E-2</v>
      </c>
      <c r="Q107" s="134">
        <f t="shared" si="10"/>
        <v>1.0360164383561643</v>
      </c>
      <c r="R107" s="133"/>
    </row>
    <row r="108" spans="1:18" x14ac:dyDescent="0.2">
      <c r="A108" s="137">
        <v>41982</v>
      </c>
      <c r="B108" s="136">
        <v>1.2154499999999999</v>
      </c>
      <c r="C108" s="134">
        <f t="shared" si="6"/>
        <v>3.5901369863013705E-2</v>
      </c>
      <c r="D108" s="134">
        <f t="shared" si="7"/>
        <v>1.2513513698630137</v>
      </c>
      <c r="E108" s="133"/>
      <c r="N108" s="137">
        <f t="shared" si="8"/>
        <v>41982</v>
      </c>
      <c r="O108" s="136">
        <v>1</v>
      </c>
      <c r="P108" s="134">
        <f t="shared" si="9"/>
        <v>3.5901369863013705E-2</v>
      </c>
      <c r="Q108" s="134">
        <f t="shared" si="10"/>
        <v>1.0359013698630137</v>
      </c>
      <c r="R108" s="133"/>
    </row>
    <row r="109" spans="1:18" x14ac:dyDescent="0.2">
      <c r="A109" s="137">
        <v>41981</v>
      </c>
      <c r="B109" s="136">
        <v>1.22227</v>
      </c>
      <c r="C109" s="134">
        <f t="shared" si="6"/>
        <v>3.5786301369863015E-2</v>
      </c>
      <c r="D109" s="134">
        <f t="shared" si="7"/>
        <v>1.2580563013698629</v>
      </c>
      <c r="E109" s="133"/>
      <c r="N109" s="137">
        <f t="shared" si="8"/>
        <v>41981</v>
      </c>
      <c r="O109" s="136">
        <v>1</v>
      </c>
      <c r="P109" s="134">
        <f t="shared" si="9"/>
        <v>3.5786301369863015E-2</v>
      </c>
      <c r="Q109" s="134">
        <f t="shared" si="10"/>
        <v>1.0357863013698629</v>
      </c>
      <c r="R109" s="133"/>
    </row>
    <row r="110" spans="1:18" x14ac:dyDescent="0.2">
      <c r="A110" s="137">
        <v>41978</v>
      </c>
      <c r="B110" s="136">
        <v>1.2146999999999999</v>
      </c>
      <c r="C110" s="134">
        <f t="shared" si="6"/>
        <v>3.5441095890410959E-2</v>
      </c>
      <c r="D110" s="134">
        <f t="shared" si="7"/>
        <v>1.2501410958904109</v>
      </c>
      <c r="E110" s="133"/>
      <c r="N110" s="137">
        <f t="shared" si="8"/>
        <v>41978</v>
      </c>
      <c r="O110" s="136">
        <v>1</v>
      </c>
      <c r="P110" s="134">
        <f t="shared" si="9"/>
        <v>3.5441095890410959E-2</v>
      </c>
      <c r="Q110" s="134">
        <f t="shared" si="10"/>
        <v>1.035441095890411</v>
      </c>
      <c r="R110" s="133"/>
    </row>
    <row r="111" spans="1:18" x14ac:dyDescent="0.2">
      <c r="A111" s="137">
        <v>41977</v>
      </c>
      <c r="B111" s="136">
        <v>1.2036</v>
      </c>
      <c r="C111" s="134">
        <f t="shared" si="6"/>
        <v>3.5326027397260276E-2</v>
      </c>
      <c r="D111" s="134">
        <f t="shared" si="7"/>
        <v>1.2389260273972602</v>
      </c>
      <c r="E111" s="133"/>
      <c r="N111" s="137">
        <f t="shared" si="8"/>
        <v>41977</v>
      </c>
      <c r="O111" s="136">
        <v>1</v>
      </c>
      <c r="P111" s="134">
        <f t="shared" si="9"/>
        <v>3.5326027397260276E-2</v>
      </c>
      <c r="Q111" s="134">
        <f t="shared" si="10"/>
        <v>1.0353260273972602</v>
      </c>
      <c r="R111" s="133"/>
    </row>
    <row r="112" spans="1:18" x14ac:dyDescent="0.2">
      <c r="A112" s="137">
        <v>41976</v>
      </c>
      <c r="B112" s="136">
        <v>1.2119499999999999</v>
      </c>
      <c r="C112" s="134">
        <f t="shared" si="6"/>
        <v>3.5210958904109593E-2</v>
      </c>
      <c r="D112" s="134">
        <f t="shared" si="7"/>
        <v>1.2471609589041095</v>
      </c>
      <c r="E112" s="133"/>
      <c r="N112" s="137">
        <f t="shared" si="8"/>
        <v>41976</v>
      </c>
      <c r="O112" s="136">
        <v>1</v>
      </c>
      <c r="P112" s="134">
        <f t="shared" si="9"/>
        <v>3.5210958904109593E-2</v>
      </c>
      <c r="Q112" s="134">
        <f t="shared" si="10"/>
        <v>1.0352109589041096</v>
      </c>
      <c r="R112" s="133"/>
    </row>
    <row r="113" spans="1:18" x14ac:dyDescent="0.2">
      <c r="A113" s="137">
        <v>41975</v>
      </c>
      <c r="B113" s="136">
        <v>1.2065300000000001</v>
      </c>
      <c r="C113" s="134">
        <f t="shared" si="6"/>
        <v>3.5095890410958903E-2</v>
      </c>
      <c r="D113" s="134">
        <f t="shared" si="7"/>
        <v>1.2416258904109589</v>
      </c>
      <c r="E113" s="133"/>
      <c r="N113" s="137">
        <f t="shared" si="8"/>
        <v>41975</v>
      </c>
      <c r="O113" s="136">
        <v>1</v>
      </c>
      <c r="P113" s="134">
        <f t="shared" si="9"/>
        <v>3.5095890410958903E-2</v>
      </c>
      <c r="Q113" s="134">
        <f t="shared" si="10"/>
        <v>1.0350958904109588</v>
      </c>
      <c r="R113" s="133"/>
    </row>
    <row r="114" spans="1:18" x14ac:dyDescent="0.2">
      <c r="A114" s="137">
        <v>41974</v>
      </c>
      <c r="B114" s="136">
        <v>1.20658</v>
      </c>
      <c r="C114" s="134">
        <f t="shared" si="6"/>
        <v>3.4980821917808221E-2</v>
      </c>
      <c r="D114" s="134">
        <f t="shared" si="7"/>
        <v>1.2415608219178083</v>
      </c>
      <c r="E114" s="133"/>
      <c r="N114" s="137">
        <f t="shared" si="8"/>
        <v>41974</v>
      </c>
      <c r="O114" s="136">
        <v>1</v>
      </c>
      <c r="P114" s="134">
        <f t="shared" si="9"/>
        <v>3.4980821917808221E-2</v>
      </c>
      <c r="Q114" s="134">
        <f t="shared" si="10"/>
        <v>1.0349808219178083</v>
      </c>
      <c r="R114" s="133"/>
    </row>
    <row r="115" spans="1:18" x14ac:dyDescent="0.2">
      <c r="A115" s="137">
        <v>41971</v>
      </c>
      <c r="B115" s="136">
        <v>1.19313</v>
      </c>
      <c r="C115" s="134">
        <f t="shared" si="6"/>
        <v>3.4635616438356165E-2</v>
      </c>
      <c r="D115" s="134">
        <f t="shared" si="7"/>
        <v>1.2277656164383561</v>
      </c>
      <c r="E115" s="133"/>
      <c r="N115" s="137">
        <f t="shared" si="8"/>
        <v>41971</v>
      </c>
      <c r="O115" s="136">
        <v>1</v>
      </c>
      <c r="P115" s="134">
        <f t="shared" si="9"/>
        <v>3.4635616438356165E-2</v>
      </c>
      <c r="Q115" s="134">
        <f t="shared" si="10"/>
        <v>1.0346356164383561</v>
      </c>
      <c r="R115" s="133"/>
    </row>
    <row r="116" spans="1:18" x14ac:dyDescent="0.2">
      <c r="A116" s="137">
        <v>41970</v>
      </c>
      <c r="B116" s="136">
        <v>1.1865000000000001</v>
      </c>
      <c r="C116" s="134">
        <f t="shared" si="6"/>
        <v>3.4520547945205482E-2</v>
      </c>
      <c r="D116" s="134">
        <f t="shared" si="7"/>
        <v>1.2210205479452056</v>
      </c>
      <c r="E116" s="133"/>
      <c r="N116" s="137">
        <f t="shared" si="8"/>
        <v>41970</v>
      </c>
      <c r="O116" s="136">
        <v>1</v>
      </c>
      <c r="P116" s="134">
        <f t="shared" si="9"/>
        <v>3.4520547945205482E-2</v>
      </c>
      <c r="Q116" s="134">
        <f t="shared" si="10"/>
        <v>1.0345205479452055</v>
      </c>
      <c r="R116" s="133"/>
    </row>
    <row r="117" spans="1:18" x14ac:dyDescent="0.2">
      <c r="A117" s="137">
        <v>41969</v>
      </c>
      <c r="B117" s="136">
        <v>1.16933</v>
      </c>
      <c r="C117" s="134">
        <f t="shared" si="6"/>
        <v>3.4405479452054799E-2</v>
      </c>
      <c r="D117" s="134">
        <f t="shared" si="7"/>
        <v>1.2037354794520547</v>
      </c>
      <c r="E117" s="133"/>
      <c r="N117" s="137">
        <f t="shared" si="8"/>
        <v>41969</v>
      </c>
      <c r="O117" s="136">
        <v>1</v>
      </c>
      <c r="P117" s="134">
        <f t="shared" si="9"/>
        <v>3.4405479452054799E-2</v>
      </c>
      <c r="Q117" s="134">
        <f t="shared" si="10"/>
        <v>1.0344054794520547</v>
      </c>
      <c r="R117" s="133"/>
    </row>
    <row r="118" spans="1:18" x14ac:dyDescent="0.2">
      <c r="A118" s="137">
        <v>41968</v>
      </c>
      <c r="B118" s="136">
        <v>1.1700299999999999</v>
      </c>
      <c r="C118" s="134">
        <f t="shared" si="6"/>
        <v>3.4290410958904109E-2</v>
      </c>
      <c r="D118" s="134">
        <f t="shared" si="7"/>
        <v>1.2043204109589041</v>
      </c>
      <c r="E118" s="133"/>
      <c r="N118" s="137">
        <f t="shared" si="8"/>
        <v>41968</v>
      </c>
      <c r="O118" s="136">
        <v>1</v>
      </c>
      <c r="P118" s="134">
        <f t="shared" si="9"/>
        <v>3.4290410958904109E-2</v>
      </c>
      <c r="Q118" s="134">
        <f t="shared" si="10"/>
        <v>1.0342904109589042</v>
      </c>
      <c r="R118" s="133"/>
    </row>
    <row r="119" spans="1:18" x14ac:dyDescent="0.2">
      <c r="A119" s="137">
        <v>41967</v>
      </c>
      <c r="B119" s="136">
        <v>1.16405</v>
      </c>
      <c r="C119" s="134">
        <f t="shared" si="6"/>
        <v>3.4175342465753426E-2</v>
      </c>
      <c r="D119" s="134">
        <f t="shared" si="7"/>
        <v>1.1982253424657534</v>
      </c>
      <c r="E119" s="133"/>
      <c r="N119" s="137">
        <f t="shared" si="8"/>
        <v>41967</v>
      </c>
      <c r="O119" s="136">
        <v>1</v>
      </c>
      <c r="P119" s="134">
        <f t="shared" si="9"/>
        <v>3.4175342465753426E-2</v>
      </c>
      <c r="Q119" s="134">
        <f t="shared" si="10"/>
        <v>1.0341753424657534</v>
      </c>
      <c r="R119" s="133"/>
    </row>
    <row r="120" spans="1:18" x14ac:dyDescent="0.2">
      <c r="A120" s="137">
        <v>41964</v>
      </c>
      <c r="B120" s="136">
        <v>1.1564000000000001</v>
      </c>
      <c r="C120" s="134">
        <f t="shared" si="6"/>
        <v>3.3830136986301371E-2</v>
      </c>
      <c r="D120" s="134">
        <f t="shared" si="7"/>
        <v>1.1902301369863015</v>
      </c>
      <c r="E120" s="133"/>
      <c r="N120" s="137">
        <f t="shared" si="8"/>
        <v>41964</v>
      </c>
      <c r="O120" s="136">
        <v>1</v>
      </c>
      <c r="P120" s="134">
        <f t="shared" si="9"/>
        <v>3.3830136986301371E-2</v>
      </c>
      <c r="Q120" s="134">
        <f t="shared" si="10"/>
        <v>1.0338301369863014</v>
      </c>
      <c r="R120" s="133"/>
    </row>
    <row r="121" spans="1:18" x14ac:dyDescent="0.2">
      <c r="A121" s="137">
        <v>41963</v>
      </c>
      <c r="B121" s="136">
        <v>1.1448</v>
      </c>
      <c r="C121" s="134">
        <f t="shared" si="6"/>
        <v>3.3715068493150688E-2</v>
      </c>
      <c r="D121" s="134">
        <f t="shared" si="7"/>
        <v>1.1785150684931507</v>
      </c>
      <c r="E121" s="133"/>
      <c r="N121" s="137">
        <f t="shared" si="8"/>
        <v>41963</v>
      </c>
      <c r="O121" s="136">
        <v>1</v>
      </c>
      <c r="P121" s="134">
        <f t="shared" si="9"/>
        <v>3.3715068493150688E-2</v>
      </c>
      <c r="Q121" s="134">
        <f t="shared" si="10"/>
        <v>1.0337150684931506</v>
      </c>
      <c r="R121" s="133"/>
    </row>
    <row r="122" spans="1:18" x14ac:dyDescent="0.2">
      <c r="A122" s="137">
        <v>41962</v>
      </c>
      <c r="B122" s="136">
        <v>1.14178</v>
      </c>
      <c r="C122" s="134">
        <f t="shared" si="6"/>
        <v>3.3600000000000005E-2</v>
      </c>
      <c r="D122" s="134">
        <f t="shared" si="7"/>
        <v>1.1753800000000001</v>
      </c>
      <c r="E122" s="133"/>
      <c r="N122" s="137">
        <f t="shared" si="8"/>
        <v>41962</v>
      </c>
      <c r="O122" s="136">
        <v>1</v>
      </c>
      <c r="P122" s="134">
        <f t="shared" si="9"/>
        <v>3.3600000000000005E-2</v>
      </c>
      <c r="Q122" s="134">
        <f t="shared" si="10"/>
        <v>1.0336000000000001</v>
      </c>
      <c r="R122" s="133"/>
    </row>
    <row r="123" spans="1:18" x14ac:dyDescent="0.2">
      <c r="A123" s="137">
        <v>41961</v>
      </c>
      <c r="B123" s="136">
        <v>1.1427800000000001</v>
      </c>
      <c r="C123" s="134">
        <f t="shared" si="6"/>
        <v>3.3484931506849322E-2</v>
      </c>
      <c r="D123" s="134">
        <f t="shared" si="7"/>
        <v>1.1762649315068494</v>
      </c>
      <c r="E123" s="133"/>
      <c r="N123" s="137">
        <f t="shared" si="8"/>
        <v>41961</v>
      </c>
      <c r="O123" s="136">
        <v>1</v>
      </c>
      <c r="P123" s="134">
        <f t="shared" si="9"/>
        <v>3.3484931506849322E-2</v>
      </c>
      <c r="Q123" s="134">
        <f t="shared" si="10"/>
        <v>1.0334849315068493</v>
      </c>
      <c r="R123" s="133"/>
    </row>
    <row r="124" spans="1:18" x14ac:dyDescent="0.2">
      <c r="A124" s="137">
        <v>41960</v>
      </c>
      <c r="B124" s="136">
        <v>1.1484300000000001</v>
      </c>
      <c r="C124" s="134">
        <f t="shared" si="6"/>
        <v>3.3369863013698632E-2</v>
      </c>
      <c r="D124" s="134">
        <f t="shared" si="7"/>
        <v>1.1817998630136988</v>
      </c>
      <c r="E124" s="133"/>
      <c r="N124" s="137">
        <f t="shared" si="8"/>
        <v>41960</v>
      </c>
      <c r="O124" s="136">
        <v>1</v>
      </c>
      <c r="P124" s="134">
        <f t="shared" si="9"/>
        <v>3.3369863013698632E-2</v>
      </c>
      <c r="Q124" s="134">
        <f t="shared" si="10"/>
        <v>1.0333698630136987</v>
      </c>
      <c r="R124" s="133"/>
    </row>
    <row r="125" spans="1:18" x14ac:dyDescent="0.2">
      <c r="A125" s="137">
        <v>41957</v>
      </c>
      <c r="B125" s="136">
        <v>1.15012</v>
      </c>
      <c r="C125" s="134">
        <f t="shared" si="6"/>
        <v>3.3024657534246576E-2</v>
      </c>
      <c r="D125" s="134">
        <f t="shared" si="7"/>
        <v>1.1831446575342466</v>
      </c>
      <c r="E125" s="133"/>
      <c r="N125" s="137">
        <f t="shared" si="8"/>
        <v>41957</v>
      </c>
      <c r="O125" s="136">
        <v>1</v>
      </c>
      <c r="P125" s="134">
        <f t="shared" si="9"/>
        <v>3.3024657534246576E-2</v>
      </c>
      <c r="Q125" s="134">
        <f t="shared" si="10"/>
        <v>1.0330246575342465</v>
      </c>
      <c r="R125" s="133"/>
    </row>
    <row r="126" spans="1:18" x14ac:dyDescent="0.2">
      <c r="A126" s="137">
        <v>41956</v>
      </c>
      <c r="B126" s="136">
        <v>1.1516500000000001</v>
      </c>
      <c r="C126" s="134">
        <f t="shared" si="6"/>
        <v>3.2909589041095894E-2</v>
      </c>
      <c r="D126" s="134">
        <f t="shared" si="7"/>
        <v>1.184559589041096</v>
      </c>
      <c r="E126" s="133"/>
      <c r="N126" s="137">
        <f t="shared" si="8"/>
        <v>41956</v>
      </c>
      <c r="O126" s="136">
        <v>1</v>
      </c>
      <c r="P126" s="134">
        <f t="shared" si="9"/>
        <v>3.2909589041095894E-2</v>
      </c>
      <c r="Q126" s="134">
        <f t="shared" si="10"/>
        <v>1.032909589041096</v>
      </c>
      <c r="R126" s="133"/>
    </row>
    <row r="127" spans="1:18" x14ac:dyDescent="0.2">
      <c r="A127" s="137">
        <v>41955</v>
      </c>
      <c r="B127" s="136">
        <v>1.1534800000000001</v>
      </c>
      <c r="C127" s="134">
        <f t="shared" si="6"/>
        <v>3.2794520547945211E-2</v>
      </c>
      <c r="D127" s="134">
        <f t="shared" si="7"/>
        <v>1.1862745205479452</v>
      </c>
      <c r="E127" s="133"/>
      <c r="N127" s="137">
        <f t="shared" si="8"/>
        <v>41955</v>
      </c>
      <c r="O127" s="136">
        <v>1</v>
      </c>
      <c r="P127" s="134">
        <f t="shared" si="9"/>
        <v>3.2794520547945211E-2</v>
      </c>
      <c r="Q127" s="134">
        <f t="shared" si="10"/>
        <v>1.0327945205479452</v>
      </c>
      <c r="R127" s="133"/>
    </row>
    <row r="128" spans="1:18" x14ac:dyDescent="0.2">
      <c r="A128" s="137">
        <v>41954</v>
      </c>
      <c r="B128" s="136">
        <v>1.15245</v>
      </c>
      <c r="C128" s="134">
        <f t="shared" si="6"/>
        <v>3.2679452054794521E-2</v>
      </c>
      <c r="D128" s="134">
        <f t="shared" si="7"/>
        <v>1.1851294520547946</v>
      </c>
      <c r="E128" s="133"/>
      <c r="N128" s="137">
        <f t="shared" si="8"/>
        <v>41954</v>
      </c>
      <c r="O128" s="136">
        <v>1</v>
      </c>
      <c r="P128" s="134">
        <f t="shared" si="9"/>
        <v>3.2679452054794521E-2</v>
      </c>
      <c r="Q128" s="134">
        <f t="shared" si="10"/>
        <v>1.0326794520547946</v>
      </c>
      <c r="R128" s="133"/>
    </row>
    <row r="129" spans="1:18" x14ac:dyDescent="0.2">
      <c r="A129" s="137">
        <v>41953</v>
      </c>
      <c r="B129" s="136">
        <v>1.1479200000000001</v>
      </c>
      <c r="C129" s="134">
        <f t="shared" si="6"/>
        <v>3.2564383561643838E-2</v>
      </c>
      <c r="D129" s="134">
        <f t="shared" si="7"/>
        <v>1.1804843835616439</v>
      </c>
      <c r="E129" s="133"/>
      <c r="N129" s="137">
        <f t="shared" si="8"/>
        <v>41953</v>
      </c>
      <c r="O129" s="136">
        <v>1</v>
      </c>
      <c r="P129" s="134">
        <f t="shared" si="9"/>
        <v>3.2564383561643838E-2</v>
      </c>
      <c r="Q129" s="134">
        <f t="shared" si="10"/>
        <v>1.0325643835616438</v>
      </c>
      <c r="R129" s="133"/>
    </row>
    <row r="130" spans="1:18" x14ac:dyDescent="0.2">
      <c r="A130" s="137">
        <v>41950</v>
      </c>
      <c r="B130" s="136">
        <v>1.14015</v>
      </c>
      <c r="C130" s="134">
        <f t="shared" si="6"/>
        <v>3.2219178082191782E-2</v>
      </c>
      <c r="D130" s="134">
        <f t="shared" si="7"/>
        <v>1.1723691780821919</v>
      </c>
      <c r="E130" s="133"/>
      <c r="N130" s="137">
        <f t="shared" si="8"/>
        <v>41950</v>
      </c>
      <c r="O130" s="136">
        <v>1</v>
      </c>
      <c r="P130" s="134">
        <f t="shared" si="9"/>
        <v>3.2219178082191782E-2</v>
      </c>
      <c r="Q130" s="134">
        <f t="shared" si="10"/>
        <v>1.0322191780821919</v>
      </c>
      <c r="R130" s="133"/>
    </row>
    <row r="131" spans="1:18" x14ac:dyDescent="0.2">
      <c r="A131" s="137">
        <v>41949</v>
      </c>
      <c r="B131" s="136">
        <v>1.1400300000000001</v>
      </c>
      <c r="C131" s="134">
        <f t="shared" si="6"/>
        <v>3.2104109589041092E-2</v>
      </c>
      <c r="D131" s="134">
        <f t="shared" si="7"/>
        <v>1.1721341095890412</v>
      </c>
      <c r="E131" s="133"/>
      <c r="N131" s="137">
        <f t="shared" si="8"/>
        <v>41949</v>
      </c>
      <c r="O131" s="136">
        <v>1</v>
      </c>
      <c r="P131" s="134">
        <f t="shared" si="9"/>
        <v>3.2104109589041092E-2</v>
      </c>
      <c r="Q131" s="134">
        <f t="shared" si="10"/>
        <v>1.0321041095890411</v>
      </c>
      <c r="R131" s="133"/>
    </row>
    <row r="132" spans="1:18" x14ac:dyDescent="0.2">
      <c r="A132" s="137">
        <v>41948</v>
      </c>
      <c r="B132" s="136">
        <v>1.13988</v>
      </c>
      <c r="C132" s="134">
        <f t="shared" si="6"/>
        <v>3.198904109589041E-2</v>
      </c>
      <c r="D132" s="134">
        <f t="shared" si="7"/>
        <v>1.1718690410958905</v>
      </c>
      <c r="E132" s="133"/>
      <c r="N132" s="137">
        <f t="shared" si="8"/>
        <v>41948</v>
      </c>
      <c r="O132" s="136">
        <v>1</v>
      </c>
      <c r="P132" s="134">
        <f t="shared" si="9"/>
        <v>3.198904109589041E-2</v>
      </c>
      <c r="Q132" s="134">
        <f t="shared" si="10"/>
        <v>1.0319890410958905</v>
      </c>
      <c r="R132" s="133"/>
    </row>
    <row r="133" spans="1:18" x14ac:dyDescent="0.2">
      <c r="A133" s="137">
        <v>41947</v>
      </c>
      <c r="B133" s="136">
        <v>1.1453</v>
      </c>
      <c r="C133" s="134">
        <f t="shared" si="6"/>
        <v>3.1873972602739727E-2</v>
      </c>
      <c r="D133" s="134">
        <f t="shared" si="7"/>
        <v>1.1771739726027397</v>
      </c>
      <c r="E133" s="133"/>
      <c r="N133" s="137">
        <f t="shared" si="8"/>
        <v>41947</v>
      </c>
      <c r="O133" s="136">
        <v>1</v>
      </c>
      <c r="P133" s="134">
        <f t="shared" si="9"/>
        <v>3.1873972602739727E-2</v>
      </c>
      <c r="Q133" s="134">
        <f t="shared" si="10"/>
        <v>1.0318739726027397</v>
      </c>
      <c r="R133" s="133"/>
    </row>
    <row r="134" spans="1:18" x14ac:dyDescent="0.2">
      <c r="A134" s="137">
        <v>41946</v>
      </c>
      <c r="B134" s="136">
        <v>1.15072</v>
      </c>
      <c r="C134" s="134">
        <f t="shared" ref="C134:C197" si="11">cuponbono*(A134-cupon2)/365</f>
        <v>3.1758904109589044E-2</v>
      </c>
      <c r="D134" s="134">
        <f t="shared" ref="D134:D197" si="12">C134+B134</f>
        <v>1.1824789041095891</v>
      </c>
      <c r="E134" s="133"/>
      <c r="N134" s="137">
        <f t="shared" ref="N134:N197" si="13">+A134</f>
        <v>41946</v>
      </c>
      <c r="O134" s="136">
        <v>1</v>
      </c>
      <c r="P134" s="134">
        <f t="shared" ref="P134:P197" si="14">+C134</f>
        <v>3.1758904109589044E-2</v>
      </c>
      <c r="Q134" s="134">
        <f t="shared" ref="Q134:Q197" si="15">P134+O134</f>
        <v>1.0317589041095891</v>
      </c>
      <c r="R134" s="133"/>
    </row>
    <row r="135" spans="1:18" x14ac:dyDescent="0.2">
      <c r="A135" s="137">
        <v>41943</v>
      </c>
      <c r="B135" s="136">
        <v>1.1595299999999999</v>
      </c>
      <c r="C135" s="134">
        <f t="shared" si="11"/>
        <v>3.1413698630136988E-2</v>
      </c>
      <c r="D135" s="134">
        <f t="shared" si="12"/>
        <v>1.1909436986301369</v>
      </c>
      <c r="E135" s="133"/>
      <c r="N135" s="137">
        <f t="shared" si="13"/>
        <v>41943</v>
      </c>
      <c r="O135" s="136">
        <v>1</v>
      </c>
      <c r="P135" s="134">
        <f t="shared" si="14"/>
        <v>3.1413698630136988E-2</v>
      </c>
      <c r="Q135" s="134">
        <f t="shared" si="15"/>
        <v>1.031413698630137</v>
      </c>
      <c r="R135" s="133"/>
    </row>
    <row r="136" spans="1:18" x14ac:dyDescent="0.2">
      <c r="A136" s="137">
        <v>41942</v>
      </c>
      <c r="B136" s="136">
        <v>1.14697</v>
      </c>
      <c r="C136" s="134">
        <f t="shared" si="11"/>
        <v>3.1298630136986305E-2</v>
      </c>
      <c r="D136" s="134">
        <f t="shared" si="12"/>
        <v>1.1782686301369862</v>
      </c>
      <c r="E136" s="133"/>
      <c r="N136" s="137">
        <f t="shared" si="13"/>
        <v>41942</v>
      </c>
      <c r="O136" s="136">
        <v>1</v>
      </c>
      <c r="P136" s="134">
        <f t="shared" si="14"/>
        <v>3.1298630136986305E-2</v>
      </c>
      <c r="Q136" s="134">
        <f t="shared" si="15"/>
        <v>1.0312986301369862</v>
      </c>
      <c r="R136" s="133"/>
    </row>
    <row r="137" spans="1:18" x14ac:dyDescent="0.2">
      <c r="A137" s="137">
        <v>41941</v>
      </c>
      <c r="B137" s="136">
        <v>1.14913</v>
      </c>
      <c r="C137" s="134">
        <f t="shared" si="11"/>
        <v>3.1183561643835619E-2</v>
      </c>
      <c r="D137" s="134">
        <f t="shared" si="12"/>
        <v>1.1803135616438356</v>
      </c>
      <c r="E137" s="133"/>
      <c r="N137" s="137">
        <f t="shared" si="13"/>
        <v>41941</v>
      </c>
      <c r="O137" s="136">
        <v>1</v>
      </c>
      <c r="P137" s="134">
        <f t="shared" si="14"/>
        <v>3.1183561643835619E-2</v>
      </c>
      <c r="Q137" s="134">
        <f t="shared" si="15"/>
        <v>1.0311835616438356</v>
      </c>
      <c r="R137" s="133"/>
    </row>
    <row r="138" spans="1:18" x14ac:dyDescent="0.2">
      <c r="A138" s="137">
        <v>41940</v>
      </c>
      <c r="B138" s="136">
        <v>1.14815</v>
      </c>
      <c r="C138" s="134">
        <f t="shared" si="11"/>
        <v>3.1068493150684932E-2</v>
      </c>
      <c r="D138" s="134">
        <f t="shared" si="12"/>
        <v>1.1792184931506848</v>
      </c>
      <c r="E138" s="133"/>
      <c r="N138" s="137">
        <f t="shared" si="13"/>
        <v>41940</v>
      </c>
      <c r="O138" s="136">
        <v>1</v>
      </c>
      <c r="P138" s="134">
        <f t="shared" si="14"/>
        <v>3.1068493150684932E-2</v>
      </c>
      <c r="Q138" s="134">
        <f t="shared" si="15"/>
        <v>1.0310684931506848</v>
      </c>
      <c r="R138" s="133"/>
    </row>
    <row r="139" spans="1:18" x14ac:dyDescent="0.2">
      <c r="A139" s="137">
        <v>41939</v>
      </c>
      <c r="B139" s="136">
        <v>1.14778</v>
      </c>
      <c r="C139" s="134">
        <f t="shared" si="11"/>
        <v>3.0953424657534246E-2</v>
      </c>
      <c r="D139" s="134">
        <f t="shared" si="12"/>
        <v>1.1787334246575343</v>
      </c>
      <c r="E139" s="133"/>
      <c r="N139" s="137">
        <f t="shared" si="13"/>
        <v>41939</v>
      </c>
      <c r="O139" s="136">
        <v>1</v>
      </c>
      <c r="P139" s="134">
        <f t="shared" si="14"/>
        <v>3.0953424657534246E-2</v>
      </c>
      <c r="Q139" s="134">
        <f t="shared" si="15"/>
        <v>1.0309534246575343</v>
      </c>
      <c r="R139" s="133"/>
    </row>
    <row r="140" spans="1:18" x14ac:dyDescent="0.2">
      <c r="A140" s="137">
        <v>41936</v>
      </c>
      <c r="B140" s="136">
        <v>1.1423300000000001</v>
      </c>
      <c r="C140" s="134">
        <f t="shared" si="11"/>
        <v>3.0608219178082194E-2</v>
      </c>
      <c r="D140" s="134">
        <f t="shared" si="12"/>
        <v>1.1729382191780822</v>
      </c>
      <c r="E140" s="133"/>
      <c r="N140" s="137">
        <f t="shared" si="13"/>
        <v>41936</v>
      </c>
      <c r="O140" s="136">
        <v>1</v>
      </c>
      <c r="P140" s="134">
        <f t="shared" si="14"/>
        <v>3.0608219178082194E-2</v>
      </c>
      <c r="Q140" s="134">
        <f t="shared" si="15"/>
        <v>1.0306082191780821</v>
      </c>
      <c r="R140" s="133"/>
    </row>
    <row r="141" spans="1:18" x14ac:dyDescent="0.2">
      <c r="A141" s="137">
        <v>41935</v>
      </c>
      <c r="B141" s="136">
        <v>1.1416299999999999</v>
      </c>
      <c r="C141" s="134">
        <f t="shared" si="11"/>
        <v>3.0493150684931507E-2</v>
      </c>
      <c r="D141" s="134">
        <f t="shared" si="12"/>
        <v>1.1721231506849314</v>
      </c>
      <c r="E141" s="133"/>
      <c r="N141" s="137">
        <f t="shared" si="13"/>
        <v>41935</v>
      </c>
      <c r="O141" s="136">
        <v>1</v>
      </c>
      <c r="P141" s="134">
        <f t="shared" si="14"/>
        <v>3.0493150684931507E-2</v>
      </c>
      <c r="Q141" s="134">
        <f t="shared" si="15"/>
        <v>1.0304931506849315</v>
      </c>
      <c r="R141" s="133"/>
    </row>
    <row r="142" spans="1:18" x14ac:dyDescent="0.2">
      <c r="A142" s="137">
        <v>41934</v>
      </c>
      <c r="B142" s="136">
        <v>1.141</v>
      </c>
      <c r="C142" s="134">
        <f t="shared" si="11"/>
        <v>3.0378082191780825E-2</v>
      </c>
      <c r="D142" s="134">
        <f t="shared" si="12"/>
        <v>1.1713780821917807</v>
      </c>
      <c r="E142" s="133"/>
      <c r="N142" s="137">
        <f t="shared" si="13"/>
        <v>41934</v>
      </c>
      <c r="O142" s="136">
        <v>1</v>
      </c>
      <c r="P142" s="134">
        <f t="shared" si="14"/>
        <v>3.0378082191780825E-2</v>
      </c>
      <c r="Q142" s="134">
        <f t="shared" si="15"/>
        <v>1.0303780821917807</v>
      </c>
      <c r="R142" s="133"/>
    </row>
    <row r="143" spans="1:18" x14ac:dyDescent="0.2">
      <c r="A143" s="137">
        <v>41933</v>
      </c>
      <c r="B143" s="136">
        <v>1.1406799999999999</v>
      </c>
      <c r="C143" s="134">
        <f t="shared" si="11"/>
        <v>3.0263013698630142E-2</v>
      </c>
      <c r="D143" s="134">
        <f t="shared" si="12"/>
        <v>1.1709430136986301</v>
      </c>
      <c r="E143" s="133"/>
      <c r="N143" s="137">
        <f t="shared" si="13"/>
        <v>41933</v>
      </c>
      <c r="O143" s="136">
        <v>1</v>
      </c>
      <c r="P143" s="134">
        <f t="shared" si="14"/>
        <v>3.0263013698630142E-2</v>
      </c>
      <c r="Q143" s="134">
        <f t="shared" si="15"/>
        <v>1.0302630136986302</v>
      </c>
      <c r="R143" s="133"/>
    </row>
    <row r="144" spans="1:18" x14ac:dyDescent="0.2">
      <c r="A144" s="137">
        <v>41932</v>
      </c>
      <c r="B144" s="136">
        <v>1.13663</v>
      </c>
      <c r="C144" s="134">
        <f t="shared" si="11"/>
        <v>3.0147945205479455E-2</v>
      </c>
      <c r="D144" s="134">
        <f t="shared" si="12"/>
        <v>1.1667779452054794</v>
      </c>
      <c r="E144" s="133"/>
      <c r="N144" s="137">
        <f t="shared" si="13"/>
        <v>41932</v>
      </c>
      <c r="O144" s="136">
        <v>1</v>
      </c>
      <c r="P144" s="134">
        <f t="shared" si="14"/>
        <v>3.0147945205479455E-2</v>
      </c>
      <c r="Q144" s="134">
        <f t="shared" si="15"/>
        <v>1.0301479452054794</v>
      </c>
      <c r="R144" s="133"/>
    </row>
    <row r="145" spans="1:18" x14ac:dyDescent="0.2">
      <c r="A145" s="137">
        <v>41929</v>
      </c>
      <c r="B145" s="136">
        <v>1.1468499999999999</v>
      </c>
      <c r="C145" s="134">
        <f t="shared" si="11"/>
        <v>2.9802739726027396E-2</v>
      </c>
      <c r="D145" s="134">
        <f t="shared" si="12"/>
        <v>1.1766527397260274</v>
      </c>
      <c r="E145" s="133"/>
      <c r="N145" s="137">
        <f t="shared" si="13"/>
        <v>41929</v>
      </c>
      <c r="O145" s="136">
        <v>1</v>
      </c>
      <c r="P145" s="134">
        <f t="shared" si="14"/>
        <v>2.9802739726027396E-2</v>
      </c>
      <c r="Q145" s="134">
        <f t="shared" si="15"/>
        <v>1.0298027397260274</v>
      </c>
      <c r="R145" s="133"/>
    </row>
    <row r="146" spans="1:18" x14ac:dyDescent="0.2">
      <c r="A146" s="137">
        <v>41928</v>
      </c>
      <c r="B146" s="136">
        <v>1.1435500000000001</v>
      </c>
      <c r="C146" s="134">
        <f t="shared" si="11"/>
        <v>2.9687671232876713E-2</v>
      </c>
      <c r="D146" s="134">
        <f t="shared" si="12"/>
        <v>1.1732376712328767</v>
      </c>
      <c r="E146" s="133"/>
      <c r="N146" s="137">
        <f t="shared" si="13"/>
        <v>41928</v>
      </c>
      <c r="O146" s="136">
        <v>1</v>
      </c>
      <c r="P146" s="134">
        <f t="shared" si="14"/>
        <v>2.9687671232876713E-2</v>
      </c>
      <c r="Q146" s="134">
        <f t="shared" si="15"/>
        <v>1.0296876712328766</v>
      </c>
      <c r="R146" s="133"/>
    </row>
    <row r="147" spans="1:18" x14ac:dyDescent="0.2">
      <c r="A147" s="137">
        <v>41927</v>
      </c>
      <c r="B147" s="136">
        <v>1.15893</v>
      </c>
      <c r="C147" s="134">
        <f t="shared" si="11"/>
        <v>2.957260273972603E-2</v>
      </c>
      <c r="D147" s="134">
        <f t="shared" si="12"/>
        <v>1.1885026027397261</v>
      </c>
      <c r="E147" s="133"/>
      <c r="N147" s="137">
        <f t="shared" si="13"/>
        <v>41927</v>
      </c>
      <c r="O147" s="136">
        <v>1</v>
      </c>
      <c r="P147" s="134">
        <f t="shared" si="14"/>
        <v>2.957260273972603E-2</v>
      </c>
      <c r="Q147" s="134">
        <f t="shared" si="15"/>
        <v>1.0295726027397261</v>
      </c>
      <c r="R147" s="133"/>
    </row>
    <row r="148" spans="1:18" x14ac:dyDescent="0.2">
      <c r="A148" s="137">
        <v>41926</v>
      </c>
      <c r="B148" s="136">
        <v>1.1678299999999999</v>
      </c>
      <c r="C148" s="134">
        <f t="shared" si="11"/>
        <v>2.9457534246575344E-2</v>
      </c>
      <c r="D148" s="134">
        <f t="shared" si="12"/>
        <v>1.1972875342465752</v>
      </c>
      <c r="E148" s="133"/>
      <c r="N148" s="137">
        <f t="shared" si="13"/>
        <v>41926</v>
      </c>
      <c r="O148" s="136">
        <v>1</v>
      </c>
      <c r="P148" s="134">
        <f t="shared" si="14"/>
        <v>2.9457534246575344E-2</v>
      </c>
      <c r="Q148" s="134">
        <f t="shared" si="15"/>
        <v>1.0294575342465753</v>
      </c>
      <c r="R148" s="133"/>
    </row>
    <row r="149" spans="1:18" x14ac:dyDescent="0.2">
      <c r="A149" s="137">
        <v>41925</v>
      </c>
      <c r="B149" s="136">
        <v>1.1635800000000001</v>
      </c>
      <c r="C149" s="134">
        <f t="shared" si="11"/>
        <v>2.9342465753424661E-2</v>
      </c>
      <c r="D149" s="134">
        <f t="shared" si="12"/>
        <v>1.1929224657534248</v>
      </c>
      <c r="E149" s="133"/>
      <c r="N149" s="137">
        <f t="shared" si="13"/>
        <v>41925</v>
      </c>
      <c r="O149" s="136">
        <v>1</v>
      </c>
      <c r="P149" s="134">
        <f t="shared" si="14"/>
        <v>2.9342465753424661E-2</v>
      </c>
      <c r="Q149" s="134">
        <f t="shared" si="15"/>
        <v>1.0293424657534247</v>
      </c>
      <c r="R149" s="133"/>
    </row>
    <row r="150" spans="1:18" x14ac:dyDescent="0.2">
      <c r="A150" s="137">
        <v>41922</v>
      </c>
      <c r="B150" s="136">
        <v>1.16648</v>
      </c>
      <c r="C150" s="134">
        <f t="shared" si="11"/>
        <v>2.8997260273972605E-2</v>
      </c>
      <c r="D150" s="134">
        <f t="shared" si="12"/>
        <v>1.1954772602739725</v>
      </c>
      <c r="E150" s="133"/>
      <c r="N150" s="137">
        <f t="shared" si="13"/>
        <v>41922</v>
      </c>
      <c r="O150" s="136">
        <v>1</v>
      </c>
      <c r="P150" s="134">
        <f t="shared" si="14"/>
        <v>2.8997260273972605E-2</v>
      </c>
      <c r="Q150" s="134">
        <f t="shared" si="15"/>
        <v>1.0289972602739725</v>
      </c>
      <c r="R150" s="133"/>
    </row>
    <row r="151" spans="1:18" x14ac:dyDescent="0.2">
      <c r="A151" s="137">
        <v>41921</v>
      </c>
      <c r="B151" s="136">
        <v>1.1650799999999999</v>
      </c>
      <c r="C151" s="134">
        <f t="shared" si="11"/>
        <v>2.8882191780821916E-2</v>
      </c>
      <c r="D151" s="134">
        <f t="shared" si="12"/>
        <v>1.1939621917808219</v>
      </c>
      <c r="E151" s="133"/>
      <c r="N151" s="137">
        <f t="shared" si="13"/>
        <v>41921</v>
      </c>
      <c r="O151" s="136">
        <v>1</v>
      </c>
      <c r="P151" s="134">
        <f t="shared" si="14"/>
        <v>2.8882191780821916E-2</v>
      </c>
      <c r="Q151" s="134">
        <f t="shared" si="15"/>
        <v>1.028882191780822</v>
      </c>
      <c r="R151" s="133"/>
    </row>
    <row r="152" spans="1:18" x14ac:dyDescent="0.2">
      <c r="A152" s="137">
        <v>41920</v>
      </c>
      <c r="B152" s="136">
        <v>1.1590499999999999</v>
      </c>
      <c r="C152" s="134">
        <f t="shared" si="11"/>
        <v>2.8767123287671233E-2</v>
      </c>
      <c r="D152" s="134">
        <f t="shared" si="12"/>
        <v>1.1878171232876711</v>
      </c>
      <c r="E152" s="133"/>
      <c r="N152" s="137">
        <f t="shared" si="13"/>
        <v>41920</v>
      </c>
      <c r="O152" s="136">
        <v>1</v>
      </c>
      <c r="P152" s="134">
        <f t="shared" si="14"/>
        <v>2.8767123287671233E-2</v>
      </c>
      <c r="Q152" s="134">
        <f t="shared" si="15"/>
        <v>1.0287671232876712</v>
      </c>
      <c r="R152" s="133"/>
    </row>
    <row r="153" spans="1:18" x14ac:dyDescent="0.2">
      <c r="A153" s="137">
        <v>41919</v>
      </c>
      <c r="B153" s="136">
        <v>1.1549</v>
      </c>
      <c r="C153" s="134">
        <f t="shared" si="11"/>
        <v>2.865205479452055E-2</v>
      </c>
      <c r="D153" s="134">
        <f t="shared" si="12"/>
        <v>1.1835520547945206</v>
      </c>
      <c r="E153" s="133"/>
      <c r="N153" s="137">
        <f t="shared" si="13"/>
        <v>41919</v>
      </c>
      <c r="O153" s="136">
        <v>1</v>
      </c>
      <c r="P153" s="134">
        <f t="shared" si="14"/>
        <v>2.865205479452055E-2</v>
      </c>
      <c r="Q153" s="134">
        <f t="shared" si="15"/>
        <v>1.0286520547945206</v>
      </c>
      <c r="R153" s="133"/>
    </row>
    <row r="154" spans="1:18" x14ac:dyDescent="0.2">
      <c r="A154" s="137">
        <v>41918</v>
      </c>
      <c r="B154" s="136">
        <v>1.1553</v>
      </c>
      <c r="C154" s="134">
        <f t="shared" si="11"/>
        <v>2.8536986301369863E-2</v>
      </c>
      <c r="D154" s="134">
        <f t="shared" si="12"/>
        <v>1.1838369863013698</v>
      </c>
      <c r="E154" s="133"/>
      <c r="N154" s="137">
        <f t="shared" si="13"/>
        <v>41918</v>
      </c>
      <c r="O154" s="136">
        <v>1</v>
      </c>
      <c r="P154" s="134">
        <f t="shared" si="14"/>
        <v>2.8536986301369863E-2</v>
      </c>
      <c r="Q154" s="134">
        <f t="shared" si="15"/>
        <v>1.0285369863013698</v>
      </c>
      <c r="R154" s="133"/>
    </row>
    <row r="155" spans="1:18" x14ac:dyDescent="0.2">
      <c r="A155" s="137">
        <v>41915</v>
      </c>
      <c r="B155" s="136">
        <v>1.1625799999999999</v>
      </c>
      <c r="C155" s="134">
        <f t="shared" si="11"/>
        <v>2.8191780821917811E-2</v>
      </c>
      <c r="D155" s="134">
        <f t="shared" si="12"/>
        <v>1.1907717808219178</v>
      </c>
      <c r="E155" s="133"/>
      <c r="N155" s="137">
        <f t="shared" si="13"/>
        <v>41915</v>
      </c>
      <c r="O155" s="136">
        <v>1</v>
      </c>
      <c r="P155" s="134">
        <f t="shared" si="14"/>
        <v>2.8191780821917811E-2</v>
      </c>
      <c r="Q155" s="134">
        <f t="shared" si="15"/>
        <v>1.0281917808219179</v>
      </c>
      <c r="R155" s="133"/>
    </row>
    <row r="156" spans="1:18" x14ac:dyDescent="0.2">
      <c r="A156" s="137">
        <v>41914</v>
      </c>
      <c r="B156" s="136">
        <v>1.16045</v>
      </c>
      <c r="C156" s="134">
        <f t="shared" si="11"/>
        <v>2.8076712328767125E-2</v>
      </c>
      <c r="D156" s="134">
        <f t="shared" si="12"/>
        <v>1.1885267123287671</v>
      </c>
      <c r="E156" s="133"/>
      <c r="N156" s="137">
        <f t="shared" si="13"/>
        <v>41914</v>
      </c>
      <c r="O156" s="136">
        <v>1</v>
      </c>
      <c r="P156" s="134">
        <f t="shared" si="14"/>
        <v>2.8076712328767125E-2</v>
      </c>
      <c r="Q156" s="134">
        <f t="shared" si="15"/>
        <v>1.0280767123287671</v>
      </c>
      <c r="R156" s="133"/>
    </row>
    <row r="157" spans="1:18" x14ac:dyDescent="0.2">
      <c r="A157" s="137">
        <v>41913</v>
      </c>
      <c r="B157" s="136">
        <v>1.1664300000000001</v>
      </c>
      <c r="C157" s="134">
        <f t="shared" si="11"/>
        <v>2.7961643835616442E-2</v>
      </c>
      <c r="D157" s="134">
        <f t="shared" si="12"/>
        <v>1.1943916438356166</v>
      </c>
      <c r="E157" s="133"/>
      <c r="N157" s="137">
        <f t="shared" si="13"/>
        <v>41913</v>
      </c>
      <c r="O157" s="136">
        <v>1</v>
      </c>
      <c r="P157" s="134">
        <f t="shared" si="14"/>
        <v>2.7961643835616442E-2</v>
      </c>
      <c r="Q157" s="134">
        <f t="shared" si="15"/>
        <v>1.0279616438356165</v>
      </c>
      <c r="R157" s="133"/>
    </row>
    <row r="158" spans="1:18" x14ac:dyDescent="0.2">
      <c r="A158" s="137">
        <v>41912</v>
      </c>
      <c r="B158" s="136">
        <v>1.1556999999999999</v>
      </c>
      <c r="C158" s="134">
        <f t="shared" si="11"/>
        <v>2.7846575342465759E-2</v>
      </c>
      <c r="D158" s="134">
        <f t="shared" si="12"/>
        <v>1.1835465753424657</v>
      </c>
      <c r="E158" s="133"/>
      <c r="N158" s="137">
        <f t="shared" si="13"/>
        <v>41912</v>
      </c>
      <c r="O158" s="136">
        <v>1</v>
      </c>
      <c r="P158" s="134">
        <f t="shared" si="14"/>
        <v>2.7846575342465759E-2</v>
      </c>
      <c r="Q158" s="134">
        <f t="shared" si="15"/>
        <v>1.0278465753424657</v>
      </c>
      <c r="R158" s="133"/>
    </row>
    <row r="159" spans="1:18" x14ac:dyDescent="0.2">
      <c r="A159" s="137">
        <v>41911</v>
      </c>
      <c r="B159" s="136">
        <v>1.1464300000000001</v>
      </c>
      <c r="C159" s="134">
        <f t="shared" si="11"/>
        <v>2.7731506849315069E-2</v>
      </c>
      <c r="D159" s="134">
        <f t="shared" si="12"/>
        <v>1.1741615068493152</v>
      </c>
      <c r="E159" s="133"/>
      <c r="N159" s="137">
        <f t="shared" si="13"/>
        <v>41911</v>
      </c>
      <c r="O159" s="136">
        <v>1</v>
      </c>
      <c r="P159" s="134">
        <f t="shared" si="14"/>
        <v>2.7731506849315069E-2</v>
      </c>
      <c r="Q159" s="134">
        <f t="shared" si="15"/>
        <v>1.0277315068493151</v>
      </c>
      <c r="R159" s="133"/>
    </row>
    <row r="160" spans="1:18" x14ac:dyDescent="0.2">
      <c r="A160" s="137">
        <v>41908</v>
      </c>
      <c r="B160" s="136">
        <v>1.1516</v>
      </c>
      <c r="C160" s="134">
        <f t="shared" si="11"/>
        <v>2.7386301369863014E-2</v>
      </c>
      <c r="D160" s="134">
        <f t="shared" si="12"/>
        <v>1.1789863013698629</v>
      </c>
      <c r="E160" s="133"/>
      <c r="N160" s="137">
        <f t="shared" si="13"/>
        <v>41908</v>
      </c>
      <c r="O160" s="136">
        <v>1</v>
      </c>
      <c r="P160" s="134">
        <f t="shared" si="14"/>
        <v>2.7386301369863014E-2</v>
      </c>
      <c r="Q160" s="134">
        <f t="shared" si="15"/>
        <v>1.027386301369863</v>
      </c>
      <c r="R160" s="133"/>
    </row>
    <row r="161" spans="1:18" x14ac:dyDescent="0.2">
      <c r="A161" s="137">
        <v>41907</v>
      </c>
      <c r="B161" s="136">
        <v>1.1558999999999999</v>
      </c>
      <c r="C161" s="134">
        <f t="shared" si="11"/>
        <v>2.7271232876712331E-2</v>
      </c>
      <c r="D161" s="134">
        <f t="shared" si="12"/>
        <v>1.1831712328767123</v>
      </c>
      <c r="E161" s="133"/>
      <c r="N161" s="137">
        <f t="shared" si="13"/>
        <v>41907</v>
      </c>
      <c r="O161" s="136">
        <v>1</v>
      </c>
      <c r="P161" s="134">
        <f t="shared" si="14"/>
        <v>2.7271232876712331E-2</v>
      </c>
      <c r="Q161" s="134">
        <f t="shared" si="15"/>
        <v>1.0272712328767124</v>
      </c>
      <c r="R161" s="133"/>
    </row>
    <row r="162" spans="1:18" x14ac:dyDescent="0.2">
      <c r="A162" s="137">
        <v>41906</v>
      </c>
      <c r="B162" s="136">
        <v>1.1573800000000001</v>
      </c>
      <c r="C162" s="134">
        <f t="shared" si="11"/>
        <v>2.7156164383561648E-2</v>
      </c>
      <c r="D162" s="134">
        <f t="shared" si="12"/>
        <v>1.1845361643835617</v>
      </c>
      <c r="E162" s="133"/>
      <c r="N162" s="137">
        <f t="shared" si="13"/>
        <v>41906</v>
      </c>
      <c r="O162" s="136">
        <v>1</v>
      </c>
      <c r="P162" s="134">
        <f t="shared" si="14"/>
        <v>2.7156164383561648E-2</v>
      </c>
      <c r="Q162" s="134">
        <f t="shared" si="15"/>
        <v>1.0271561643835616</v>
      </c>
      <c r="R162" s="133"/>
    </row>
    <row r="163" spans="1:18" x14ac:dyDescent="0.2">
      <c r="A163" s="137">
        <v>41905</v>
      </c>
      <c r="B163" s="136">
        <v>1.1506799999999999</v>
      </c>
      <c r="C163" s="134">
        <f t="shared" si="11"/>
        <v>2.7041095890410961E-2</v>
      </c>
      <c r="D163" s="134">
        <f t="shared" si="12"/>
        <v>1.177721095890411</v>
      </c>
      <c r="E163" s="133"/>
      <c r="N163" s="137">
        <f t="shared" si="13"/>
        <v>41905</v>
      </c>
      <c r="O163" s="136">
        <v>1</v>
      </c>
      <c r="P163" s="134">
        <f t="shared" si="14"/>
        <v>2.7041095890410961E-2</v>
      </c>
      <c r="Q163" s="134">
        <f t="shared" si="15"/>
        <v>1.027041095890411</v>
      </c>
      <c r="R163" s="133"/>
    </row>
    <row r="164" spans="1:18" x14ac:dyDescent="0.2">
      <c r="A164" s="137">
        <v>41904</v>
      </c>
      <c r="B164" s="136">
        <v>1.14455</v>
      </c>
      <c r="C164" s="134">
        <f t="shared" si="11"/>
        <v>2.6926027397260278E-2</v>
      </c>
      <c r="D164" s="134">
        <f t="shared" si="12"/>
        <v>1.1714760273972602</v>
      </c>
      <c r="E164" s="133"/>
      <c r="N164" s="137">
        <f t="shared" si="13"/>
        <v>41904</v>
      </c>
      <c r="O164" s="136">
        <v>1</v>
      </c>
      <c r="P164" s="134">
        <f t="shared" si="14"/>
        <v>2.6926027397260278E-2</v>
      </c>
      <c r="Q164" s="134">
        <f t="shared" si="15"/>
        <v>1.0269260273972602</v>
      </c>
      <c r="R164" s="133"/>
    </row>
    <row r="165" spans="1:18" x14ac:dyDescent="0.2">
      <c r="A165" s="137">
        <v>41901</v>
      </c>
      <c r="B165" s="136">
        <v>1.1449800000000001</v>
      </c>
      <c r="C165" s="134">
        <f t="shared" si="11"/>
        <v>2.6580821917808219E-2</v>
      </c>
      <c r="D165" s="134">
        <f t="shared" si="12"/>
        <v>1.1715608219178084</v>
      </c>
      <c r="E165" s="133"/>
      <c r="N165" s="137">
        <f t="shared" si="13"/>
        <v>41901</v>
      </c>
      <c r="O165" s="136">
        <v>1</v>
      </c>
      <c r="P165" s="134">
        <f t="shared" si="14"/>
        <v>2.6580821917808219E-2</v>
      </c>
      <c r="Q165" s="134">
        <f t="shared" si="15"/>
        <v>1.0265808219178083</v>
      </c>
      <c r="R165" s="133"/>
    </row>
    <row r="166" spans="1:18" x14ac:dyDescent="0.2">
      <c r="A166" s="137">
        <v>41900</v>
      </c>
      <c r="B166" s="136">
        <v>1.1326799999999999</v>
      </c>
      <c r="C166" s="134">
        <f t="shared" si="11"/>
        <v>2.6465753424657533E-2</v>
      </c>
      <c r="D166" s="134">
        <f t="shared" si="12"/>
        <v>1.1591457534246574</v>
      </c>
      <c r="E166" s="133"/>
      <c r="N166" s="137">
        <f t="shared" si="13"/>
        <v>41900</v>
      </c>
      <c r="O166" s="136">
        <v>1</v>
      </c>
      <c r="P166" s="134">
        <f t="shared" si="14"/>
        <v>2.6465753424657533E-2</v>
      </c>
      <c r="Q166" s="134">
        <f t="shared" si="15"/>
        <v>1.0264657534246575</v>
      </c>
      <c r="R166" s="133"/>
    </row>
    <row r="167" spans="1:18" x14ac:dyDescent="0.2">
      <c r="A167" s="137">
        <v>41899</v>
      </c>
      <c r="B167" s="136">
        <v>1.1313500000000001</v>
      </c>
      <c r="C167" s="134">
        <f t="shared" si="11"/>
        <v>2.635068493150685E-2</v>
      </c>
      <c r="D167" s="134">
        <f t="shared" si="12"/>
        <v>1.157700684931507</v>
      </c>
      <c r="E167" s="133"/>
      <c r="N167" s="137">
        <f t="shared" si="13"/>
        <v>41899</v>
      </c>
      <c r="O167" s="136">
        <v>1</v>
      </c>
      <c r="P167" s="134">
        <f t="shared" si="14"/>
        <v>2.635068493150685E-2</v>
      </c>
      <c r="Q167" s="134">
        <f t="shared" si="15"/>
        <v>1.0263506849315069</v>
      </c>
      <c r="R167" s="133"/>
    </row>
    <row r="168" spans="1:18" x14ac:dyDescent="0.2">
      <c r="A168" s="137">
        <v>41898</v>
      </c>
      <c r="B168" s="136">
        <v>1.1228499999999999</v>
      </c>
      <c r="C168" s="134">
        <f t="shared" si="11"/>
        <v>2.6235616438356167E-2</v>
      </c>
      <c r="D168" s="134">
        <f t="shared" si="12"/>
        <v>1.1490856164383561</v>
      </c>
      <c r="E168" s="133"/>
      <c r="N168" s="137">
        <f t="shared" si="13"/>
        <v>41898</v>
      </c>
      <c r="O168" s="136">
        <v>1</v>
      </c>
      <c r="P168" s="134">
        <f t="shared" si="14"/>
        <v>2.6235616438356167E-2</v>
      </c>
      <c r="Q168" s="134">
        <f t="shared" si="15"/>
        <v>1.0262356164383561</v>
      </c>
      <c r="R168" s="133"/>
    </row>
    <row r="169" spans="1:18" x14ac:dyDescent="0.2">
      <c r="A169" s="137">
        <v>41897</v>
      </c>
      <c r="B169" s="136">
        <v>1.1224800000000001</v>
      </c>
      <c r="C169" s="134">
        <f t="shared" si="11"/>
        <v>2.6120547945205481E-2</v>
      </c>
      <c r="D169" s="134">
        <f t="shared" si="12"/>
        <v>1.1486005479452057</v>
      </c>
      <c r="E169" s="133"/>
      <c r="N169" s="137">
        <f t="shared" si="13"/>
        <v>41897</v>
      </c>
      <c r="O169" s="136">
        <v>1</v>
      </c>
      <c r="P169" s="134">
        <f t="shared" si="14"/>
        <v>2.6120547945205481E-2</v>
      </c>
      <c r="Q169" s="134">
        <f t="shared" si="15"/>
        <v>1.0261205479452056</v>
      </c>
      <c r="R169" s="133"/>
    </row>
    <row r="170" spans="1:18" x14ac:dyDescent="0.2">
      <c r="A170" s="137">
        <v>41894</v>
      </c>
      <c r="B170" s="136">
        <v>1.1208499999999999</v>
      </c>
      <c r="C170" s="134">
        <f t="shared" si="11"/>
        <v>2.5775342465753429E-2</v>
      </c>
      <c r="D170" s="134">
        <f t="shared" si="12"/>
        <v>1.1466253424657533</v>
      </c>
      <c r="E170" s="133"/>
      <c r="N170" s="137">
        <f t="shared" si="13"/>
        <v>41894</v>
      </c>
      <c r="O170" s="136">
        <v>1</v>
      </c>
      <c r="P170" s="134">
        <f t="shared" si="14"/>
        <v>2.5775342465753429E-2</v>
      </c>
      <c r="Q170" s="134">
        <f t="shared" si="15"/>
        <v>1.0257753424657534</v>
      </c>
      <c r="R170" s="133"/>
    </row>
    <row r="171" spans="1:18" x14ac:dyDescent="0.2">
      <c r="A171" s="137">
        <v>41893</v>
      </c>
      <c r="B171" s="136">
        <v>1.1226499999999999</v>
      </c>
      <c r="C171" s="134">
        <f t="shared" si="11"/>
        <v>2.5660273972602742E-2</v>
      </c>
      <c r="D171" s="134">
        <f t="shared" si="12"/>
        <v>1.1483102739726028</v>
      </c>
      <c r="E171" s="133"/>
      <c r="N171" s="137">
        <f t="shared" si="13"/>
        <v>41893</v>
      </c>
      <c r="O171" s="136">
        <v>1</v>
      </c>
      <c r="P171" s="134">
        <f t="shared" si="14"/>
        <v>2.5660273972602742E-2</v>
      </c>
      <c r="Q171" s="134">
        <f t="shared" si="15"/>
        <v>1.0256602739726028</v>
      </c>
      <c r="R171" s="133"/>
    </row>
    <row r="172" spans="1:18" x14ac:dyDescent="0.2">
      <c r="A172" s="137">
        <v>41892</v>
      </c>
      <c r="B172" s="136">
        <v>1.12585</v>
      </c>
      <c r="C172" s="134">
        <f t="shared" si="11"/>
        <v>2.5545205479452056E-2</v>
      </c>
      <c r="D172" s="134">
        <f t="shared" si="12"/>
        <v>1.1513952054794521</v>
      </c>
      <c r="E172" s="133"/>
      <c r="N172" s="137">
        <f t="shared" si="13"/>
        <v>41892</v>
      </c>
      <c r="O172" s="136">
        <v>1</v>
      </c>
      <c r="P172" s="134">
        <f t="shared" si="14"/>
        <v>2.5545205479452056E-2</v>
      </c>
      <c r="Q172" s="134">
        <f t="shared" si="15"/>
        <v>1.025545205479452</v>
      </c>
      <c r="R172" s="133"/>
    </row>
    <row r="173" spans="1:18" x14ac:dyDescent="0.2">
      <c r="A173" s="137">
        <v>41891</v>
      </c>
      <c r="B173" s="136">
        <v>1.1393500000000001</v>
      </c>
      <c r="C173" s="134">
        <f t="shared" si="11"/>
        <v>2.5430136986301369E-2</v>
      </c>
      <c r="D173" s="134">
        <f t="shared" si="12"/>
        <v>1.1647801369863016</v>
      </c>
      <c r="E173" s="133"/>
      <c r="N173" s="137">
        <f t="shared" si="13"/>
        <v>41891</v>
      </c>
      <c r="O173" s="136">
        <v>1</v>
      </c>
      <c r="P173" s="134">
        <f t="shared" si="14"/>
        <v>2.5430136986301369E-2</v>
      </c>
      <c r="Q173" s="134">
        <f t="shared" si="15"/>
        <v>1.0254301369863015</v>
      </c>
      <c r="R173" s="133"/>
    </row>
    <row r="174" spans="1:18" x14ac:dyDescent="0.2">
      <c r="A174" s="137">
        <v>41890</v>
      </c>
      <c r="B174" s="136">
        <v>1.1564000000000001</v>
      </c>
      <c r="C174" s="134">
        <f t="shared" si="11"/>
        <v>2.5315068493150687E-2</v>
      </c>
      <c r="D174" s="134">
        <f t="shared" si="12"/>
        <v>1.1817150684931508</v>
      </c>
      <c r="E174" s="133"/>
      <c r="N174" s="137">
        <f t="shared" si="13"/>
        <v>41890</v>
      </c>
      <c r="O174" s="136">
        <v>1</v>
      </c>
      <c r="P174" s="134">
        <f t="shared" si="14"/>
        <v>2.5315068493150687E-2</v>
      </c>
      <c r="Q174" s="134">
        <f t="shared" si="15"/>
        <v>1.0253150684931507</v>
      </c>
      <c r="R174" s="133"/>
    </row>
    <row r="175" spans="1:18" x14ac:dyDescent="0.2">
      <c r="A175" s="137">
        <v>41887</v>
      </c>
      <c r="B175" s="136">
        <v>1.16917</v>
      </c>
      <c r="C175" s="134">
        <f t="shared" si="11"/>
        <v>2.4969863013698631E-2</v>
      </c>
      <c r="D175" s="134">
        <f t="shared" si="12"/>
        <v>1.1941398630136986</v>
      </c>
      <c r="E175" s="133"/>
      <c r="N175" s="137">
        <f t="shared" si="13"/>
        <v>41887</v>
      </c>
      <c r="O175" s="136">
        <v>1</v>
      </c>
      <c r="P175" s="134">
        <f t="shared" si="14"/>
        <v>2.4969863013698631E-2</v>
      </c>
      <c r="Q175" s="134">
        <f t="shared" si="15"/>
        <v>1.0249698630136985</v>
      </c>
      <c r="R175" s="133"/>
    </row>
    <row r="176" spans="1:18" x14ac:dyDescent="0.2">
      <c r="A176" s="137">
        <v>41886</v>
      </c>
      <c r="B176" s="136">
        <v>1.1558999999999999</v>
      </c>
      <c r="C176" s="134">
        <f t="shared" si="11"/>
        <v>2.4854794520547948E-2</v>
      </c>
      <c r="D176" s="134">
        <f t="shared" si="12"/>
        <v>1.1807547945205479</v>
      </c>
      <c r="E176" s="133"/>
      <c r="N176" s="137">
        <f t="shared" si="13"/>
        <v>41886</v>
      </c>
      <c r="O176" s="136">
        <v>1</v>
      </c>
      <c r="P176" s="134">
        <f t="shared" si="14"/>
        <v>2.4854794520547948E-2</v>
      </c>
      <c r="Q176" s="134">
        <f t="shared" si="15"/>
        <v>1.024854794520548</v>
      </c>
      <c r="R176" s="133"/>
    </row>
    <row r="177" spans="1:18" x14ac:dyDescent="0.2">
      <c r="A177" s="137">
        <v>41885</v>
      </c>
      <c r="B177" s="136">
        <v>1.1433</v>
      </c>
      <c r="C177" s="134">
        <f t="shared" si="11"/>
        <v>2.4739726027397265E-2</v>
      </c>
      <c r="D177" s="134">
        <f t="shared" si="12"/>
        <v>1.1680397260273971</v>
      </c>
      <c r="E177" s="133"/>
      <c r="N177" s="137">
        <f t="shared" si="13"/>
        <v>41885</v>
      </c>
      <c r="O177" s="136">
        <v>1</v>
      </c>
      <c r="P177" s="134">
        <f t="shared" si="14"/>
        <v>2.4739726027397265E-2</v>
      </c>
      <c r="Q177" s="134">
        <f t="shared" si="15"/>
        <v>1.0247397260273972</v>
      </c>
      <c r="R177" s="133"/>
    </row>
    <row r="178" spans="1:18" x14ac:dyDescent="0.2">
      <c r="A178" s="137">
        <v>41884</v>
      </c>
      <c r="B178" s="136">
        <v>1.14697</v>
      </c>
      <c r="C178" s="134">
        <f t="shared" si="11"/>
        <v>2.4624657534246579E-2</v>
      </c>
      <c r="D178" s="134">
        <f t="shared" si="12"/>
        <v>1.1715946575342466</v>
      </c>
      <c r="E178" s="133"/>
      <c r="N178" s="137">
        <f t="shared" si="13"/>
        <v>41884</v>
      </c>
      <c r="O178" s="136">
        <v>1</v>
      </c>
      <c r="P178" s="134">
        <f t="shared" si="14"/>
        <v>2.4624657534246579E-2</v>
      </c>
      <c r="Q178" s="134">
        <f t="shared" si="15"/>
        <v>1.0246246575342466</v>
      </c>
      <c r="R178" s="133"/>
    </row>
    <row r="179" spans="1:18" x14ac:dyDescent="0.2">
      <c r="A179" s="137">
        <v>41883</v>
      </c>
      <c r="B179" s="136">
        <v>1.1519299999999999</v>
      </c>
      <c r="C179" s="134">
        <f t="shared" si="11"/>
        <v>2.4509589041095889E-2</v>
      </c>
      <c r="D179" s="134">
        <f t="shared" si="12"/>
        <v>1.1764395890410957</v>
      </c>
      <c r="E179" s="133"/>
      <c r="N179" s="137">
        <f t="shared" si="13"/>
        <v>41883</v>
      </c>
      <c r="O179" s="136">
        <v>1</v>
      </c>
      <c r="P179" s="134">
        <f t="shared" si="14"/>
        <v>2.4509589041095889E-2</v>
      </c>
      <c r="Q179" s="134">
        <f t="shared" si="15"/>
        <v>1.0245095890410958</v>
      </c>
      <c r="R179" s="133"/>
    </row>
    <row r="180" spans="1:18" x14ac:dyDescent="0.2">
      <c r="A180" s="137">
        <v>41880</v>
      </c>
      <c r="B180" s="136">
        <v>1.16265</v>
      </c>
      <c r="C180" s="134">
        <f t="shared" si="11"/>
        <v>2.4164383561643837E-2</v>
      </c>
      <c r="D180" s="134">
        <f t="shared" si="12"/>
        <v>1.1868143835616438</v>
      </c>
      <c r="E180" s="133"/>
      <c r="N180" s="137">
        <f t="shared" si="13"/>
        <v>41880</v>
      </c>
      <c r="O180" s="136">
        <v>1</v>
      </c>
      <c r="P180" s="134">
        <f t="shared" si="14"/>
        <v>2.4164383561643837E-2</v>
      </c>
      <c r="Q180" s="134">
        <f t="shared" si="15"/>
        <v>1.0241643835616439</v>
      </c>
      <c r="R180" s="133"/>
    </row>
    <row r="181" spans="1:18" x14ac:dyDescent="0.2">
      <c r="A181" s="137">
        <v>41879</v>
      </c>
      <c r="B181" s="136">
        <v>1.16858</v>
      </c>
      <c r="C181" s="134">
        <f t="shared" si="11"/>
        <v>2.404931506849315E-2</v>
      </c>
      <c r="D181" s="134">
        <f t="shared" si="12"/>
        <v>1.192629315068493</v>
      </c>
      <c r="E181" s="133"/>
      <c r="N181" s="137">
        <f t="shared" si="13"/>
        <v>41879</v>
      </c>
      <c r="O181" s="136">
        <v>1</v>
      </c>
      <c r="P181" s="134">
        <f t="shared" si="14"/>
        <v>2.404931506849315E-2</v>
      </c>
      <c r="Q181" s="134">
        <f t="shared" si="15"/>
        <v>1.0240493150684931</v>
      </c>
      <c r="R181" s="133"/>
    </row>
    <row r="182" spans="1:18" x14ac:dyDescent="0.2">
      <c r="A182" s="137">
        <v>41878</v>
      </c>
      <c r="B182" s="136">
        <v>1.1786799999999999</v>
      </c>
      <c r="C182" s="134">
        <f t="shared" si="11"/>
        <v>2.3934246575342467E-2</v>
      </c>
      <c r="D182" s="134">
        <f t="shared" si="12"/>
        <v>1.2026142465753424</v>
      </c>
      <c r="E182" s="133"/>
      <c r="N182" s="137">
        <f t="shared" si="13"/>
        <v>41878</v>
      </c>
      <c r="O182" s="136">
        <v>1</v>
      </c>
      <c r="P182" s="134">
        <f t="shared" si="14"/>
        <v>2.3934246575342467E-2</v>
      </c>
      <c r="Q182" s="134">
        <f t="shared" si="15"/>
        <v>1.0239342465753425</v>
      </c>
      <c r="R182" s="133"/>
    </row>
    <row r="183" spans="1:18" x14ac:dyDescent="0.2">
      <c r="A183" s="137">
        <v>41877</v>
      </c>
      <c r="B183" s="136">
        <v>1.1727800000000002</v>
      </c>
      <c r="C183" s="134">
        <f t="shared" si="11"/>
        <v>2.3819178082191785E-2</v>
      </c>
      <c r="D183" s="134">
        <f t="shared" si="12"/>
        <v>1.1965991780821918</v>
      </c>
      <c r="E183" s="133"/>
      <c r="N183" s="137">
        <f t="shared" si="13"/>
        <v>41877</v>
      </c>
      <c r="O183" s="136">
        <v>1</v>
      </c>
      <c r="P183" s="134">
        <f t="shared" si="14"/>
        <v>2.3819178082191785E-2</v>
      </c>
      <c r="Q183" s="134">
        <f t="shared" si="15"/>
        <v>1.0238191780821917</v>
      </c>
      <c r="R183" s="133"/>
    </row>
    <row r="184" spans="1:18" x14ac:dyDescent="0.2">
      <c r="A184" s="137">
        <v>41876</v>
      </c>
      <c r="B184" s="136">
        <v>1.15768</v>
      </c>
      <c r="C184" s="134">
        <f t="shared" si="11"/>
        <v>2.3704109589041098E-2</v>
      </c>
      <c r="D184" s="134">
        <f t="shared" si="12"/>
        <v>1.1813841095890412</v>
      </c>
      <c r="E184" s="133"/>
      <c r="N184" s="137">
        <f t="shared" si="13"/>
        <v>41876</v>
      </c>
      <c r="O184" s="136">
        <v>1</v>
      </c>
      <c r="P184" s="134">
        <f t="shared" si="14"/>
        <v>2.3704109589041098E-2</v>
      </c>
      <c r="Q184" s="134">
        <f t="shared" si="15"/>
        <v>1.0237041095890411</v>
      </c>
      <c r="R184" s="133"/>
    </row>
    <row r="185" spans="1:18" x14ac:dyDescent="0.2">
      <c r="A185" s="137">
        <v>41873</v>
      </c>
      <c r="B185" s="136">
        <v>1.14578</v>
      </c>
      <c r="C185" s="134">
        <f t="shared" si="11"/>
        <v>2.3358904109589039E-2</v>
      </c>
      <c r="D185" s="134">
        <f t="shared" si="12"/>
        <v>1.169138904109589</v>
      </c>
      <c r="E185" s="133"/>
      <c r="N185" s="137">
        <f t="shared" si="13"/>
        <v>41873</v>
      </c>
      <c r="O185" s="136">
        <v>1</v>
      </c>
      <c r="P185" s="134">
        <f t="shared" si="14"/>
        <v>2.3358904109589039E-2</v>
      </c>
      <c r="Q185" s="134">
        <f t="shared" si="15"/>
        <v>1.023358904109589</v>
      </c>
      <c r="R185" s="133"/>
    </row>
    <row r="186" spans="1:18" x14ac:dyDescent="0.2">
      <c r="A186" s="137">
        <v>41872</v>
      </c>
      <c r="B186" s="136">
        <v>1.1411799999999999</v>
      </c>
      <c r="C186" s="134">
        <f t="shared" si="11"/>
        <v>2.3243835616438356E-2</v>
      </c>
      <c r="D186" s="134">
        <f t="shared" si="12"/>
        <v>1.1644238356164383</v>
      </c>
      <c r="E186" s="133"/>
      <c r="N186" s="137">
        <f t="shared" si="13"/>
        <v>41872</v>
      </c>
      <c r="O186" s="136">
        <v>1</v>
      </c>
      <c r="P186" s="134">
        <f t="shared" si="14"/>
        <v>2.3243835616438356E-2</v>
      </c>
      <c r="Q186" s="134">
        <f t="shared" si="15"/>
        <v>1.0232438356164384</v>
      </c>
      <c r="R186" s="133"/>
    </row>
    <row r="187" spans="1:18" x14ac:dyDescent="0.2">
      <c r="A187" s="137">
        <v>41871</v>
      </c>
      <c r="B187" s="136">
        <v>1.1357999999999999</v>
      </c>
      <c r="C187" s="134">
        <f t="shared" si="11"/>
        <v>2.3128767123287673E-2</v>
      </c>
      <c r="D187" s="134">
        <f t="shared" si="12"/>
        <v>1.1589287671232875</v>
      </c>
      <c r="E187" s="133"/>
      <c r="N187" s="137">
        <f t="shared" si="13"/>
        <v>41871</v>
      </c>
      <c r="O187" s="136">
        <v>1</v>
      </c>
      <c r="P187" s="134">
        <f t="shared" si="14"/>
        <v>2.3128767123287673E-2</v>
      </c>
      <c r="Q187" s="134">
        <f t="shared" si="15"/>
        <v>1.0231287671232876</v>
      </c>
      <c r="R187" s="133"/>
    </row>
    <row r="188" spans="1:18" x14ac:dyDescent="0.2">
      <c r="A188" s="137">
        <v>41870</v>
      </c>
      <c r="B188" s="136">
        <v>1.1294499999999998</v>
      </c>
      <c r="C188" s="134">
        <f t="shared" si="11"/>
        <v>2.3013698630136987E-2</v>
      </c>
      <c r="D188" s="134">
        <f t="shared" si="12"/>
        <v>1.1524636986301369</v>
      </c>
      <c r="E188" s="133"/>
      <c r="N188" s="137">
        <f t="shared" si="13"/>
        <v>41870</v>
      </c>
      <c r="O188" s="136">
        <v>1</v>
      </c>
      <c r="P188" s="134">
        <f t="shared" si="14"/>
        <v>2.3013698630136987E-2</v>
      </c>
      <c r="Q188" s="134">
        <f t="shared" si="15"/>
        <v>1.023013698630137</v>
      </c>
      <c r="R188" s="133"/>
    </row>
    <row r="189" spans="1:18" x14ac:dyDescent="0.2">
      <c r="A189" s="137">
        <v>41869</v>
      </c>
      <c r="B189" s="136">
        <v>1.12388</v>
      </c>
      <c r="C189" s="134">
        <f t="shared" si="11"/>
        <v>2.2898630136986304E-2</v>
      </c>
      <c r="D189" s="134">
        <f t="shared" si="12"/>
        <v>1.1467786301369862</v>
      </c>
      <c r="E189" s="133"/>
      <c r="N189" s="137">
        <f t="shared" si="13"/>
        <v>41869</v>
      </c>
      <c r="O189" s="136">
        <v>1</v>
      </c>
      <c r="P189" s="134">
        <f t="shared" si="14"/>
        <v>2.2898630136986304E-2</v>
      </c>
      <c r="Q189" s="134">
        <f t="shared" si="15"/>
        <v>1.0228986301369862</v>
      </c>
      <c r="R189" s="133"/>
    </row>
    <row r="190" spans="1:18" x14ac:dyDescent="0.2">
      <c r="A190" s="137">
        <v>41866</v>
      </c>
      <c r="B190" s="136">
        <v>1.1315500000000001</v>
      </c>
      <c r="C190" s="134">
        <f t="shared" si="11"/>
        <v>2.2553424657534248E-2</v>
      </c>
      <c r="D190" s="134">
        <f t="shared" si="12"/>
        <v>1.1541034246575343</v>
      </c>
      <c r="E190" s="133"/>
      <c r="N190" s="137">
        <f t="shared" si="13"/>
        <v>41866</v>
      </c>
      <c r="O190" s="136">
        <v>1</v>
      </c>
      <c r="P190" s="134">
        <f t="shared" si="14"/>
        <v>2.2553424657534248E-2</v>
      </c>
      <c r="Q190" s="134">
        <f t="shared" si="15"/>
        <v>1.0225534246575343</v>
      </c>
      <c r="R190" s="133"/>
    </row>
    <row r="191" spans="1:18" x14ac:dyDescent="0.2">
      <c r="A191" s="137">
        <v>41865</v>
      </c>
      <c r="B191" s="136">
        <v>1.1190800000000001</v>
      </c>
      <c r="C191" s="134">
        <f t="shared" si="11"/>
        <v>2.2438356164383565E-2</v>
      </c>
      <c r="D191" s="134">
        <f t="shared" si="12"/>
        <v>1.1415183561643836</v>
      </c>
      <c r="E191" s="133"/>
      <c r="N191" s="137">
        <f t="shared" si="13"/>
        <v>41865</v>
      </c>
      <c r="O191" s="136">
        <v>1</v>
      </c>
      <c r="P191" s="134">
        <f t="shared" si="14"/>
        <v>2.2438356164383565E-2</v>
      </c>
      <c r="Q191" s="134">
        <f t="shared" si="15"/>
        <v>1.0224383561643835</v>
      </c>
      <c r="R191" s="133"/>
    </row>
    <row r="192" spans="1:18" x14ac:dyDescent="0.2">
      <c r="A192" s="137">
        <v>41864</v>
      </c>
      <c r="B192" s="136">
        <v>1.1080800000000002</v>
      </c>
      <c r="C192" s="134">
        <f t="shared" si="11"/>
        <v>2.2323287671232876E-2</v>
      </c>
      <c r="D192" s="134">
        <f t="shared" si="12"/>
        <v>1.1304032876712331</v>
      </c>
      <c r="E192" s="133"/>
      <c r="N192" s="137">
        <f t="shared" si="13"/>
        <v>41864</v>
      </c>
      <c r="O192" s="136">
        <v>1</v>
      </c>
      <c r="P192" s="134">
        <f t="shared" si="14"/>
        <v>2.2323287671232876E-2</v>
      </c>
      <c r="Q192" s="134">
        <f t="shared" si="15"/>
        <v>1.0223232876712329</v>
      </c>
      <c r="R192" s="133"/>
    </row>
    <row r="193" spans="1:18" x14ac:dyDescent="0.2">
      <c r="A193" s="137">
        <v>41863</v>
      </c>
      <c r="B193" s="136">
        <v>1.1031</v>
      </c>
      <c r="C193" s="134">
        <f t="shared" si="11"/>
        <v>2.2208219178082193E-2</v>
      </c>
      <c r="D193" s="134">
        <f t="shared" si="12"/>
        <v>1.1253082191780821</v>
      </c>
      <c r="E193" s="133"/>
      <c r="N193" s="137">
        <f t="shared" si="13"/>
        <v>41863</v>
      </c>
      <c r="O193" s="136">
        <v>1</v>
      </c>
      <c r="P193" s="134">
        <f t="shared" si="14"/>
        <v>2.2208219178082193E-2</v>
      </c>
      <c r="Q193" s="134">
        <f t="shared" si="15"/>
        <v>1.0222082191780821</v>
      </c>
      <c r="R193" s="133"/>
    </row>
    <row r="194" spans="1:18" x14ac:dyDescent="0.2">
      <c r="A194" s="137">
        <v>41862</v>
      </c>
      <c r="B194" s="136">
        <v>1.0962799999999999</v>
      </c>
      <c r="C194" s="134">
        <f t="shared" si="11"/>
        <v>2.2093150684931506E-2</v>
      </c>
      <c r="D194" s="134">
        <f t="shared" si="12"/>
        <v>1.1183731506849315</v>
      </c>
      <c r="E194" s="133"/>
      <c r="N194" s="137">
        <f t="shared" si="13"/>
        <v>41862</v>
      </c>
      <c r="O194" s="136">
        <v>1</v>
      </c>
      <c r="P194" s="134">
        <f t="shared" si="14"/>
        <v>2.2093150684931506E-2</v>
      </c>
      <c r="Q194" s="134">
        <f t="shared" si="15"/>
        <v>1.0220931506849316</v>
      </c>
      <c r="R194" s="133"/>
    </row>
    <row r="195" spans="1:18" x14ac:dyDescent="0.2">
      <c r="A195" s="137">
        <v>41859</v>
      </c>
      <c r="B195" s="136">
        <v>1.09335</v>
      </c>
      <c r="C195" s="134">
        <f t="shared" si="11"/>
        <v>2.1747945205479454E-2</v>
      </c>
      <c r="D195" s="134">
        <f t="shared" si="12"/>
        <v>1.1150979452054794</v>
      </c>
      <c r="E195" s="133"/>
      <c r="N195" s="137">
        <f t="shared" si="13"/>
        <v>41859</v>
      </c>
      <c r="O195" s="136">
        <v>1</v>
      </c>
      <c r="P195" s="134">
        <f t="shared" si="14"/>
        <v>2.1747945205479454E-2</v>
      </c>
      <c r="Q195" s="134">
        <f t="shared" si="15"/>
        <v>1.0217479452054794</v>
      </c>
      <c r="R195" s="133"/>
    </row>
    <row r="196" spans="1:18" x14ac:dyDescent="0.2">
      <c r="A196" s="137">
        <v>41858</v>
      </c>
      <c r="B196" s="136">
        <v>1.0842799999999999</v>
      </c>
      <c r="C196" s="134">
        <f t="shared" si="11"/>
        <v>2.1632876712328768E-2</v>
      </c>
      <c r="D196" s="134">
        <f t="shared" si="12"/>
        <v>1.1059128767123287</v>
      </c>
      <c r="E196" s="133"/>
      <c r="N196" s="137">
        <f t="shared" si="13"/>
        <v>41858</v>
      </c>
      <c r="O196" s="136">
        <v>1</v>
      </c>
      <c r="P196" s="134">
        <f t="shared" si="14"/>
        <v>2.1632876712328768E-2</v>
      </c>
      <c r="Q196" s="134">
        <f t="shared" si="15"/>
        <v>1.0216328767123288</v>
      </c>
      <c r="R196" s="133"/>
    </row>
    <row r="197" spans="1:18" x14ac:dyDescent="0.2">
      <c r="A197" s="137">
        <v>41857</v>
      </c>
      <c r="B197" s="136">
        <v>1.0903</v>
      </c>
      <c r="C197" s="134">
        <f t="shared" si="11"/>
        <v>2.1517808219178081E-2</v>
      </c>
      <c r="D197" s="134">
        <f t="shared" si="12"/>
        <v>1.1118178082191781</v>
      </c>
      <c r="E197" s="133"/>
      <c r="N197" s="137">
        <f t="shared" si="13"/>
        <v>41857</v>
      </c>
      <c r="O197" s="136">
        <v>1</v>
      </c>
      <c r="P197" s="134">
        <f t="shared" si="14"/>
        <v>2.1517808219178081E-2</v>
      </c>
      <c r="Q197" s="134">
        <f t="shared" si="15"/>
        <v>1.021517808219178</v>
      </c>
      <c r="R197" s="133"/>
    </row>
    <row r="198" spans="1:18" x14ac:dyDescent="0.2">
      <c r="A198" s="137">
        <v>41856</v>
      </c>
      <c r="B198" s="136">
        <v>1.09348</v>
      </c>
      <c r="C198" s="134">
        <f t="shared" ref="C198:C261" si="16">cuponbono*(A198-cupon2)/365</f>
        <v>2.1402739726027398E-2</v>
      </c>
      <c r="D198" s="134">
        <f t="shared" ref="D198:D261" si="17">C198+B198</f>
        <v>1.1148827397260275</v>
      </c>
      <c r="E198" s="133"/>
      <c r="N198" s="137">
        <f t="shared" ref="N198:N261" si="18">+A198</f>
        <v>41856</v>
      </c>
      <c r="O198" s="136">
        <v>1</v>
      </c>
      <c r="P198" s="134">
        <f t="shared" ref="P198:P261" si="19">+C198</f>
        <v>2.1402739726027398E-2</v>
      </c>
      <c r="Q198" s="134">
        <f t="shared" ref="Q198:Q261" si="20">P198+O198</f>
        <v>1.0214027397260275</v>
      </c>
      <c r="R198" s="133"/>
    </row>
    <row r="199" spans="1:18" x14ac:dyDescent="0.2">
      <c r="A199" s="137">
        <v>41855</v>
      </c>
      <c r="B199" s="136">
        <v>1.1005</v>
      </c>
      <c r="C199" s="134">
        <f t="shared" si="16"/>
        <v>2.1287671232876712E-2</v>
      </c>
      <c r="D199" s="134">
        <f t="shared" si="17"/>
        <v>1.1217876712328767</v>
      </c>
      <c r="E199" s="133"/>
      <c r="N199" s="137">
        <f t="shared" si="18"/>
        <v>41855</v>
      </c>
      <c r="O199" s="136">
        <v>1</v>
      </c>
      <c r="P199" s="134">
        <f t="shared" si="19"/>
        <v>2.1287671232876712E-2</v>
      </c>
      <c r="Q199" s="134">
        <f t="shared" si="20"/>
        <v>1.0212876712328767</v>
      </c>
      <c r="R199" s="133"/>
    </row>
    <row r="200" spans="1:18" x14ac:dyDescent="0.2">
      <c r="A200" s="137">
        <v>41852</v>
      </c>
      <c r="B200" s="136">
        <v>1.0903499999999999</v>
      </c>
      <c r="C200" s="134">
        <f t="shared" si="16"/>
        <v>2.0942465753424656E-2</v>
      </c>
      <c r="D200" s="134">
        <f t="shared" si="17"/>
        <v>1.1112924657534247</v>
      </c>
      <c r="E200" s="133"/>
      <c r="N200" s="137">
        <f t="shared" si="18"/>
        <v>41852</v>
      </c>
      <c r="O200" s="136">
        <v>1</v>
      </c>
      <c r="P200" s="134">
        <f t="shared" si="19"/>
        <v>2.0942465753424656E-2</v>
      </c>
      <c r="Q200" s="134">
        <f t="shared" si="20"/>
        <v>1.0209424657534247</v>
      </c>
      <c r="R200" s="133"/>
    </row>
    <row r="201" spans="1:18" x14ac:dyDescent="0.2">
      <c r="A201" s="137">
        <v>41851</v>
      </c>
      <c r="B201" s="136">
        <v>1.0965</v>
      </c>
      <c r="C201" s="134">
        <f t="shared" si="16"/>
        <v>2.0827397260273973E-2</v>
      </c>
      <c r="D201" s="134">
        <f t="shared" si="17"/>
        <v>1.117327397260274</v>
      </c>
      <c r="E201" s="133"/>
      <c r="N201" s="137">
        <f t="shared" si="18"/>
        <v>41851</v>
      </c>
      <c r="O201" s="136">
        <v>1</v>
      </c>
      <c r="P201" s="134">
        <f t="shared" si="19"/>
        <v>2.0827397260273973E-2</v>
      </c>
      <c r="Q201" s="134">
        <f t="shared" si="20"/>
        <v>1.0208273972602739</v>
      </c>
      <c r="R201" s="133"/>
    </row>
    <row r="202" spans="1:18" x14ac:dyDescent="0.2">
      <c r="A202" s="137">
        <v>41850</v>
      </c>
      <c r="B202" s="136">
        <v>1.0922499999999999</v>
      </c>
      <c r="C202" s="134">
        <f t="shared" si="16"/>
        <v>2.0712328767123291E-2</v>
      </c>
      <c r="D202" s="134">
        <f t="shared" si="17"/>
        <v>1.1129623287671233</v>
      </c>
      <c r="E202" s="133"/>
      <c r="N202" s="137">
        <f t="shared" si="18"/>
        <v>41850</v>
      </c>
      <c r="O202" s="136">
        <v>1</v>
      </c>
      <c r="P202" s="134">
        <f t="shared" si="19"/>
        <v>2.0712328767123291E-2</v>
      </c>
      <c r="Q202" s="134">
        <f t="shared" si="20"/>
        <v>1.0207123287671234</v>
      </c>
      <c r="R202" s="133"/>
    </row>
    <row r="203" spans="1:18" x14ac:dyDescent="0.2">
      <c r="A203" s="137">
        <v>41849</v>
      </c>
      <c r="B203" s="136">
        <v>1.0952</v>
      </c>
      <c r="C203" s="134">
        <f t="shared" si="16"/>
        <v>2.0597260273972604E-2</v>
      </c>
      <c r="D203" s="134">
        <f t="shared" si="17"/>
        <v>1.1157972602739725</v>
      </c>
      <c r="E203" s="133"/>
      <c r="N203" s="137">
        <f t="shared" si="18"/>
        <v>41849</v>
      </c>
      <c r="O203" s="136">
        <v>1</v>
      </c>
      <c r="P203" s="134">
        <f t="shared" si="19"/>
        <v>2.0597260273972604E-2</v>
      </c>
      <c r="Q203" s="134">
        <f t="shared" si="20"/>
        <v>1.0205972602739726</v>
      </c>
      <c r="R203" s="133"/>
    </row>
    <row r="204" spans="1:18" x14ac:dyDescent="0.2">
      <c r="A204" s="137">
        <v>41848</v>
      </c>
      <c r="B204" s="136">
        <v>1.08908</v>
      </c>
      <c r="C204" s="134">
        <f t="shared" si="16"/>
        <v>2.0482191780821921E-2</v>
      </c>
      <c r="D204" s="134">
        <f t="shared" si="17"/>
        <v>1.109562191780822</v>
      </c>
      <c r="E204" s="133"/>
      <c r="N204" s="137">
        <f t="shared" si="18"/>
        <v>41848</v>
      </c>
      <c r="O204" s="136">
        <v>1</v>
      </c>
      <c r="P204" s="134">
        <f t="shared" si="19"/>
        <v>2.0482191780821921E-2</v>
      </c>
      <c r="Q204" s="134">
        <f t="shared" si="20"/>
        <v>1.020482191780822</v>
      </c>
      <c r="R204" s="133"/>
    </row>
    <row r="205" spans="1:18" x14ac:dyDescent="0.2">
      <c r="A205" s="137">
        <v>41845</v>
      </c>
      <c r="B205" s="136">
        <v>1.0828499999999999</v>
      </c>
      <c r="C205" s="134">
        <f t="shared" si="16"/>
        <v>2.0136986301369866E-2</v>
      </c>
      <c r="D205" s="134">
        <f t="shared" si="17"/>
        <v>1.1029869863013697</v>
      </c>
      <c r="E205" s="133"/>
      <c r="N205" s="137">
        <f t="shared" si="18"/>
        <v>41845</v>
      </c>
      <c r="O205" s="136">
        <v>1</v>
      </c>
      <c r="P205" s="134">
        <f t="shared" si="19"/>
        <v>2.0136986301369866E-2</v>
      </c>
      <c r="Q205" s="134">
        <f t="shared" si="20"/>
        <v>1.0201369863013698</v>
      </c>
      <c r="R205" s="133"/>
    </row>
    <row r="206" spans="1:18" x14ac:dyDescent="0.2">
      <c r="A206" s="137">
        <v>41844</v>
      </c>
      <c r="B206" s="136">
        <v>1.07958</v>
      </c>
      <c r="C206" s="134">
        <f t="shared" si="16"/>
        <v>2.0021917808219179E-2</v>
      </c>
      <c r="D206" s="134">
        <f t="shared" si="17"/>
        <v>1.0996019178082193</v>
      </c>
      <c r="E206" s="133"/>
      <c r="N206" s="137">
        <f t="shared" si="18"/>
        <v>41844</v>
      </c>
      <c r="O206" s="136">
        <v>1</v>
      </c>
      <c r="P206" s="134">
        <f t="shared" si="19"/>
        <v>2.0021917808219179E-2</v>
      </c>
      <c r="Q206" s="134">
        <f t="shared" si="20"/>
        <v>1.0200219178082193</v>
      </c>
      <c r="R206" s="133"/>
    </row>
    <row r="207" spans="1:18" x14ac:dyDescent="0.2">
      <c r="A207" s="137">
        <v>41843</v>
      </c>
      <c r="B207" s="136">
        <v>1.0793999999999999</v>
      </c>
      <c r="C207" s="134">
        <f t="shared" si="16"/>
        <v>1.9906849315068493E-2</v>
      </c>
      <c r="D207" s="134">
        <f t="shared" si="17"/>
        <v>1.0993068493150684</v>
      </c>
      <c r="E207" s="133"/>
      <c r="N207" s="137">
        <f t="shared" si="18"/>
        <v>41843</v>
      </c>
      <c r="O207" s="136">
        <v>1</v>
      </c>
      <c r="P207" s="134">
        <f t="shared" si="19"/>
        <v>1.9906849315068493E-2</v>
      </c>
      <c r="Q207" s="134">
        <f t="shared" si="20"/>
        <v>1.0199068493150685</v>
      </c>
      <c r="R207" s="133"/>
    </row>
    <row r="208" spans="1:18" x14ac:dyDescent="0.2">
      <c r="A208" s="137">
        <v>41842</v>
      </c>
      <c r="B208" s="136">
        <v>1.0790500000000001</v>
      </c>
      <c r="C208" s="134">
        <f t="shared" si="16"/>
        <v>1.979178082191781E-2</v>
      </c>
      <c r="D208" s="134">
        <f t="shared" si="17"/>
        <v>1.098841780821918</v>
      </c>
      <c r="E208" s="133"/>
      <c r="N208" s="137">
        <f t="shared" si="18"/>
        <v>41842</v>
      </c>
      <c r="O208" s="136">
        <v>1</v>
      </c>
      <c r="P208" s="134">
        <f t="shared" si="19"/>
        <v>1.979178082191781E-2</v>
      </c>
      <c r="Q208" s="134">
        <f t="shared" si="20"/>
        <v>1.0197917808219179</v>
      </c>
      <c r="R208" s="133"/>
    </row>
    <row r="209" spans="1:18" x14ac:dyDescent="0.2">
      <c r="A209" s="137">
        <v>41841</v>
      </c>
      <c r="B209" s="136">
        <v>1.0806800000000001</v>
      </c>
      <c r="C209" s="134">
        <f t="shared" si="16"/>
        <v>1.9676712328767124E-2</v>
      </c>
      <c r="D209" s="134">
        <f t="shared" si="17"/>
        <v>1.1003567123287672</v>
      </c>
      <c r="E209" s="133"/>
      <c r="N209" s="137">
        <f t="shared" si="18"/>
        <v>41841</v>
      </c>
      <c r="O209" s="136">
        <v>1</v>
      </c>
      <c r="P209" s="134">
        <f t="shared" si="19"/>
        <v>1.9676712328767124E-2</v>
      </c>
      <c r="Q209" s="134">
        <f t="shared" si="20"/>
        <v>1.0196767123287671</v>
      </c>
      <c r="R209" s="133"/>
    </row>
    <row r="210" spans="1:18" x14ac:dyDescent="0.2">
      <c r="A210" s="137">
        <v>41838</v>
      </c>
      <c r="B210" s="136">
        <v>1.07447</v>
      </c>
      <c r="C210" s="134">
        <f t="shared" si="16"/>
        <v>1.9331506849315068E-2</v>
      </c>
      <c r="D210" s="134">
        <f t="shared" si="17"/>
        <v>1.0938015068493152</v>
      </c>
      <c r="E210" s="133"/>
      <c r="N210" s="137">
        <f t="shared" si="18"/>
        <v>41838</v>
      </c>
      <c r="O210" s="136">
        <v>1</v>
      </c>
      <c r="P210" s="134">
        <f t="shared" si="19"/>
        <v>1.9331506849315068E-2</v>
      </c>
      <c r="Q210" s="134">
        <f t="shared" si="20"/>
        <v>1.0193315068493152</v>
      </c>
      <c r="R210" s="133"/>
    </row>
    <row r="211" spans="1:18" x14ac:dyDescent="0.2">
      <c r="A211" s="137">
        <v>41837</v>
      </c>
      <c r="B211" s="136">
        <v>1.07572</v>
      </c>
      <c r="C211" s="134">
        <f t="shared" si="16"/>
        <v>1.9216438356164385E-2</v>
      </c>
      <c r="D211" s="134">
        <f t="shared" si="17"/>
        <v>1.0949364383561644</v>
      </c>
      <c r="E211" s="133"/>
      <c r="N211" s="137">
        <f t="shared" si="18"/>
        <v>41837</v>
      </c>
      <c r="O211" s="136">
        <v>1</v>
      </c>
      <c r="P211" s="134">
        <f t="shared" si="19"/>
        <v>1.9216438356164385E-2</v>
      </c>
      <c r="Q211" s="134">
        <f t="shared" si="20"/>
        <v>1.0192164383561644</v>
      </c>
      <c r="R211" s="133"/>
    </row>
    <row r="212" spans="1:18" x14ac:dyDescent="0.2">
      <c r="A212" s="137">
        <v>41836</v>
      </c>
      <c r="B212" s="136">
        <v>1.0686</v>
      </c>
      <c r="C212" s="134">
        <f t="shared" si="16"/>
        <v>1.9101369863013699E-2</v>
      </c>
      <c r="D212" s="134">
        <f t="shared" si="17"/>
        <v>1.0877013698630138</v>
      </c>
      <c r="E212" s="133"/>
      <c r="N212" s="137">
        <f t="shared" si="18"/>
        <v>41836</v>
      </c>
      <c r="O212" s="136">
        <v>1</v>
      </c>
      <c r="P212" s="134">
        <f t="shared" si="19"/>
        <v>1.9101369863013699E-2</v>
      </c>
      <c r="Q212" s="134">
        <f t="shared" si="20"/>
        <v>1.0191013698630138</v>
      </c>
      <c r="R212" s="133"/>
    </row>
    <row r="213" spans="1:18" x14ac:dyDescent="0.2">
      <c r="A213" s="137">
        <v>41835</v>
      </c>
      <c r="B213" s="136">
        <v>1.0604800000000001</v>
      </c>
      <c r="C213" s="134">
        <f t="shared" si="16"/>
        <v>1.8986301369863016E-2</v>
      </c>
      <c r="D213" s="134">
        <f t="shared" si="17"/>
        <v>1.0794663013698631</v>
      </c>
      <c r="E213" s="133"/>
      <c r="N213" s="137">
        <f t="shared" si="18"/>
        <v>41835</v>
      </c>
      <c r="O213" s="136">
        <v>1</v>
      </c>
      <c r="P213" s="134">
        <f t="shared" si="19"/>
        <v>1.8986301369863016E-2</v>
      </c>
      <c r="Q213" s="134">
        <f t="shared" si="20"/>
        <v>1.018986301369863</v>
      </c>
      <c r="R213" s="133"/>
    </row>
    <row r="214" spans="1:18" x14ac:dyDescent="0.2">
      <c r="A214" s="137">
        <v>41834</v>
      </c>
      <c r="B214" s="136">
        <v>1.0556000000000001</v>
      </c>
      <c r="C214" s="134">
        <f t="shared" si="16"/>
        <v>1.8871232876712329E-2</v>
      </c>
      <c r="D214" s="134">
        <f t="shared" si="17"/>
        <v>1.0744712328767125</v>
      </c>
      <c r="E214" s="133"/>
      <c r="N214" s="137">
        <f t="shared" si="18"/>
        <v>41834</v>
      </c>
      <c r="O214" s="136">
        <v>1</v>
      </c>
      <c r="P214" s="134">
        <f t="shared" si="19"/>
        <v>1.8871232876712329E-2</v>
      </c>
      <c r="Q214" s="134">
        <f t="shared" si="20"/>
        <v>1.0188712328767124</v>
      </c>
      <c r="R214" s="133"/>
    </row>
    <row r="215" spans="1:18" x14ac:dyDescent="0.2">
      <c r="A215" s="137">
        <v>41831</v>
      </c>
      <c r="B215" s="136">
        <v>1.05708</v>
      </c>
      <c r="C215" s="134">
        <f t="shared" si="16"/>
        <v>1.8526027397260274E-2</v>
      </c>
      <c r="D215" s="134">
        <f t="shared" si="17"/>
        <v>1.0756060273972603</v>
      </c>
      <c r="E215" s="133"/>
      <c r="N215" s="137">
        <f t="shared" si="18"/>
        <v>41831</v>
      </c>
      <c r="O215" s="136">
        <v>1</v>
      </c>
      <c r="P215" s="134">
        <f t="shared" si="19"/>
        <v>1.8526027397260274E-2</v>
      </c>
      <c r="Q215" s="134">
        <f t="shared" si="20"/>
        <v>1.0185260273972603</v>
      </c>
      <c r="R215" s="133"/>
    </row>
    <row r="216" spans="1:18" x14ac:dyDescent="0.2">
      <c r="A216" s="137">
        <v>41830</v>
      </c>
      <c r="B216" s="136">
        <v>1.05325</v>
      </c>
      <c r="C216" s="134">
        <f t="shared" si="16"/>
        <v>1.8410958904109591E-2</v>
      </c>
      <c r="D216" s="134">
        <f t="shared" si="17"/>
        <v>1.0716609589041095</v>
      </c>
      <c r="E216" s="133"/>
      <c r="N216" s="137">
        <f t="shared" si="18"/>
        <v>41830</v>
      </c>
      <c r="O216" s="136">
        <v>1</v>
      </c>
      <c r="P216" s="134">
        <f t="shared" si="19"/>
        <v>1.8410958904109591E-2</v>
      </c>
      <c r="Q216" s="134">
        <f t="shared" si="20"/>
        <v>1.0184109589041095</v>
      </c>
      <c r="R216" s="133"/>
    </row>
    <row r="217" spans="1:18" x14ac:dyDescent="0.2">
      <c r="A217" s="137">
        <v>41829</v>
      </c>
      <c r="B217" s="136">
        <v>1.0623800000000001</v>
      </c>
      <c r="C217" s="134">
        <f t="shared" si="16"/>
        <v>1.8295890410958908E-2</v>
      </c>
      <c r="D217" s="134">
        <f t="shared" si="17"/>
        <v>1.080675890410959</v>
      </c>
      <c r="E217" s="133"/>
      <c r="N217" s="137">
        <f t="shared" si="18"/>
        <v>41829</v>
      </c>
      <c r="O217" s="136">
        <v>1</v>
      </c>
      <c r="P217" s="134">
        <f t="shared" si="19"/>
        <v>1.8295890410958908E-2</v>
      </c>
      <c r="Q217" s="134">
        <f t="shared" si="20"/>
        <v>1.0182958904109589</v>
      </c>
      <c r="R217" s="133"/>
    </row>
    <row r="218" spans="1:18" x14ac:dyDescent="0.2">
      <c r="A218" s="137">
        <v>41828</v>
      </c>
      <c r="B218" s="136">
        <v>1.06803</v>
      </c>
      <c r="C218" s="134">
        <f t="shared" si="16"/>
        <v>1.8180821917808218E-2</v>
      </c>
      <c r="D218" s="134">
        <f t="shared" si="17"/>
        <v>1.0862108219178082</v>
      </c>
      <c r="E218" s="133"/>
      <c r="N218" s="137">
        <f t="shared" si="18"/>
        <v>41828</v>
      </c>
      <c r="O218" s="136">
        <v>1</v>
      </c>
      <c r="P218" s="134">
        <f t="shared" si="19"/>
        <v>1.8180821917808218E-2</v>
      </c>
      <c r="Q218" s="134">
        <f t="shared" si="20"/>
        <v>1.0181808219178081</v>
      </c>
      <c r="R218" s="133"/>
    </row>
    <row r="219" spans="1:18" x14ac:dyDescent="0.2">
      <c r="A219" s="137">
        <v>41827</v>
      </c>
      <c r="B219" s="136">
        <v>1.0745800000000001</v>
      </c>
      <c r="C219" s="134">
        <f t="shared" si="16"/>
        <v>1.8065753424657535E-2</v>
      </c>
      <c r="D219" s="134">
        <f t="shared" si="17"/>
        <v>1.0926457534246576</v>
      </c>
      <c r="E219" s="133"/>
      <c r="N219" s="137">
        <f t="shared" si="18"/>
        <v>41827</v>
      </c>
      <c r="O219" s="136">
        <v>1</v>
      </c>
      <c r="P219" s="134">
        <f t="shared" si="19"/>
        <v>1.8065753424657535E-2</v>
      </c>
      <c r="Q219" s="134">
        <f t="shared" si="20"/>
        <v>1.0180657534246575</v>
      </c>
      <c r="R219" s="133"/>
    </row>
    <row r="220" spans="1:18" x14ac:dyDescent="0.2">
      <c r="A220" s="137">
        <v>41824</v>
      </c>
      <c r="B220" s="136">
        <v>1.0749299999999999</v>
      </c>
      <c r="C220" s="134">
        <f t="shared" si="16"/>
        <v>1.772054794520548E-2</v>
      </c>
      <c r="D220" s="134">
        <f t="shared" si="17"/>
        <v>1.0926505479452053</v>
      </c>
      <c r="E220" s="133"/>
      <c r="N220" s="137">
        <f t="shared" si="18"/>
        <v>41824</v>
      </c>
      <c r="O220" s="136">
        <v>1</v>
      </c>
      <c r="P220" s="134">
        <f t="shared" si="19"/>
        <v>1.772054794520548E-2</v>
      </c>
      <c r="Q220" s="134">
        <f t="shared" si="20"/>
        <v>1.0177205479452054</v>
      </c>
      <c r="R220" s="133"/>
    </row>
    <row r="221" spans="1:18" x14ac:dyDescent="0.2">
      <c r="A221" s="137">
        <v>41823</v>
      </c>
      <c r="B221" s="136">
        <v>1.075</v>
      </c>
      <c r="C221" s="134">
        <f t="shared" si="16"/>
        <v>1.7605479452054797E-2</v>
      </c>
      <c r="D221" s="134">
        <f t="shared" si="17"/>
        <v>1.0926054794520548</v>
      </c>
      <c r="E221" s="133"/>
      <c r="N221" s="137">
        <f t="shared" si="18"/>
        <v>41823</v>
      </c>
      <c r="O221" s="136">
        <v>1</v>
      </c>
      <c r="P221" s="134">
        <f t="shared" si="19"/>
        <v>1.7605479452054797E-2</v>
      </c>
      <c r="Q221" s="134">
        <f t="shared" si="20"/>
        <v>1.0176054794520548</v>
      </c>
      <c r="R221" s="133"/>
    </row>
    <row r="222" spans="1:18" x14ac:dyDescent="0.2">
      <c r="A222" s="137">
        <v>41822</v>
      </c>
      <c r="B222" s="136">
        <v>1.06955</v>
      </c>
      <c r="C222" s="134">
        <f t="shared" si="16"/>
        <v>1.749041095890411E-2</v>
      </c>
      <c r="D222" s="134">
        <f t="shared" si="17"/>
        <v>1.087040410958904</v>
      </c>
      <c r="E222" s="133"/>
      <c r="N222" s="137">
        <f t="shared" si="18"/>
        <v>41822</v>
      </c>
      <c r="O222" s="136">
        <v>1</v>
      </c>
      <c r="P222" s="134">
        <f t="shared" si="19"/>
        <v>1.749041095890411E-2</v>
      </c>
      <c r="Q222" s="134">
        <f t="shared" si="20"/>
        <v>1.017490410958904</v>
      </c>
      <c r="R222" s="133"/>
    </row>
    <row r="223" spans="1:18" x14ac:dyDescent="0.2">
      <c r="A223" s="137">
        <v>41821</v>
      </c>
      <c r="B223" s="136">
        <v>1.0834300000000001</v>
      </c>
      <c r="C223" s="134">
        <f t="shared" si="16"/>
        <v>1.7375342465753427E-2</v>
      </c>
      <c r="D223" s="134">
        <f t="shared" si="17"/>
        <v>1.1008053424657536</v>
      </c>
      <c r="E223" s="133"/>
      <c r="N223" s="137">
        <f t="shared" si="18"/>
        <v>41821</v>
      </c>
      <c r="O223" s="136">
        <v>1</v>
      </c>
      <c r="P223" s="134">
        <f t="shared" si="19"/>
        <v>1.7375342465753427E-2</v>
      </c>
      <c r="Q223" s="134">
        <f t="shared" si="20"/>
        <v>1.0173753424657535</v>
      </c>
      <c r="R223" s="133"/>
    </row>
    <row r="224" spans="1:18" x14ac:dyDescent="0.2">
      <c r="A224" s="137">
        <v>41820</v>
      </c>
      <c r="B224" s="136">
        <v>1.0790500000000001</v>
      </c>
      <c r="C224" s="134">
        <f t="shared" si="16"/>
        <v>1.7260273972602741E-2</v>
      </c>
      <c r="D224" s="134">
        <f t="shared" si="17"/>
        <v>1.0963102739726027</v>
      </c>
      <c r="E224" s="133"/>
      <c r="N224" s="137">
        <f t="shared" si="18"/>
        <v>41820</v>
      </c>
      <c r="O224" s="136">
        <v>1</v>
      </c>
      <c r="P224" s="134">
        <f t="shared" si="19"/>
        <v>1.7260273972602741E-2</v>
      </c>
      <c r="Q224" s="134">
        <f t="shared" si="20"/>
        <v>1.0172602739726027</v>
      </c>
      <c r="R224" s="133"/>
    </row>
    <row r="225" spans="1:18" x14ac:dyDescent="0.2">
      <c r="A225" s="137">
        <v>41817</v>
      </c>
      <c r="B225" s="136">
        <v>1.08178</v>
      </c>
      <c r="C225" s="134">
        <f t="shared" si="16"/>
        <v>1.6915068493150685E-2</v>
      </c>
      <c r="D225" s="134">
        <f t="shared" si="17"/>
        <v>1.0986950684931507</v>
      </c>
      <c r="E225" s="133"/>
      <c r="N225" s="137">
        <f t="shared" si="18"/>
        <v>41817</v>
      </c>
      <c r="O225" s="136">
        <v>1</v>
      </c>
      <c r="P225" s="134">
        <f t="shared" si="19"/>
        <v>1.6915068493150685E-2</v>
      </c>
      <c r="Q225" s="134">
        <f t="shared" si="20"/>
        <v>1.0169150684931507</v>
      </c>
      <c r="R225" s="133"/>
    </row>
    <row r="226" spans="1:18" x14ac:dyDescent="0.2">
      <c r="A226" s="137">
        <v>41816</v>
      </c>
      <c r="B226" s="136">
        <v>1.0848800000000001</v>
      </c>
      <c r="C226" s="134">
        <f t="shared" si="16"/>
        <v>1.6800000000000002E-2</v>
      </c>
      <c r="D226" s="134">
        <f t="shared" si="17"/>
        <v>1.10168</v>
      </c>
      <c r="E226" s="133"/>
      <c r="N226" s="137">
        <f t="shared" si="18"/>
        <v>41816</v>
      </c>
      <c r="O226" s="136">
        <v>1</v>
      </c>
      <c r="P226" s="134">
        <f t="shared" si="19"/>
        <v>1.6800000000000002E-2</v>
      </c>
      <c r="Q226" s="134">
        <f t="shared" si="20"/>
        <v>1.0167999999999999</v>
      </c>
      <c r="R226" s="133"/>
    </row>
    <row r="227" spans="1:18" x14ac:dyDescent="0.2">
      <c r="A227" s="137">
        <v>41815</v>
      </c>
      <c r="B227" s="136">
        <v>1.0878000000000001</v>
      </c>
      <c r="C227" s="134">
        <f t="shared" si="16"/>
        <v>1.6684931506849316E-2</v>
      </c>
      <c r="D227" s="134">
        <f t="shared" si="17"/>
        <v>1.1044849315068495</v>
      </c>
      <c r="E227" s="133"/>
      <c r="N227" s="137">
        <f t="shared" si="18"/>
        <v>41815</v>
      </c>
      <c r="O227" s="136">
        <v>1</v>
      </c>
      <c r="P227" s="134">
        <f t="shared" si="19"/>
        <v>1.6684931506849316E-2</v>
      </c>
      <c r="Q227" s="134">
        <f t="shared" si="20"/>
        <v>1.0166849315068494</v>
      </c>
      <c r="R227" s="133"/>
    </row>
    <row r="228" spans="1:18" x14ac:dyDescent="0.2">
      <c r="A228" s="137">
        <v>41814</v>
      </c>
      <c r="B228" s="136">
        <v>1.0852999999999999</v>
      </c>
      <c r="C228" s="134">
        <f t="shared" si="16"/>
        <v>1.656986301369863E-2</v>
      </c>
      <c r="D228" s="134">
        <f t="shared" si="17"/>
        <v>1.1018698630136985</v>
      </c>
      <c r="E228" s="133"/>
      <c r="N228" s="137">
        <f t="shared" si="18"/>
        <v>41814</v>
      </c>
      <c r="O228" s="136">
        <v>1</v>
      </c>
      <c r="P228" s="134">
        <f t="shared" si="19"/>
        <v>1.656986301369863E-2</v>
      </c>
      <c r="Q228" s="134">
        <f t="shared" si="20"/>
        <v>1.0165698630136986</v>
      </c>
      <c r="R228" s="133"/>
    </row>
    <row r="229" spans="1:18" x14ac:dyDescent="0.2">
      <c r="A229" s="137">
        <v>41813</v>
      </c>
      <c r="B229" s="136">
        <v>1.07728</v>
      </c>
      <c r="C229" s="134">
        <f t="shared" si="16"/>
        <v>1.6454794520547947E-2</v>
      </c>
      <c r="D229" s="134">
        <f t="shared" si="17"/>
        <v>1.093734794520548</v>
      </c>
      <c r="E229" s="133"/>
      <c r="N229" s="137">
        <f t="shared" si="18"/>
        <v>41813</v>
      </c>
      <c r="O229" s="136">
        <v>1</v>
      </c>
      <c r="P229" s="134">
        <f t="shared" si="19"/>
        <v>1.6454794520547947E-2</v>
      </c>
      <c r="Q229" s="134">
        <f t="shared" si="20"/>
        <v>1.016454794520548</v>
      </c>
      <c r="R229" s="133"/>
    </row>
    <row r="230" spans="1:18" x14ac:dyDescent="0.2">
      <c r="A230" s="137">
        <v>41810</v>
      </c>
      <c r="B230" s="136">
        <v>1.07148</v>
      </c>
      <c r="C230" s="134">
        <f t="shared" si="16"/>
        <v>1.6109589041095891E-2</v>
      </c>
      <c r="D230" s="134">
        <f t="shared" si="17"/>
        <v>1.0875895890410958</v>
      </c>
      <c r="E230" s="133"/>
      <c r="N230" s="137">
        <f t="shared" si="18"/>
        <v>41810</v>
      </c>
      <c r="O230" s="136">
        <v>1</v>
      </c>
      <c r="P230" s="134">
        <f t="shared" si="19"/>
        <v>1.6109589041095891E-2</v>
      </c>
      <c r="Q230" s="134">
        <f t="shared" si="20"/>
        <v>1.0161095890410958</v>
      </c>
      <c r="R230" s="133"/>
    </row>
    <row r="231" spans="1:18" x14ac:dyDescent="0.2">
      <c r="A231" s="137">
        <v>41809</v>
      </c>
      <c r="B231" s="136">
        <v>1.0765</v>
      </c>
      <c r="C231" s="134">
        <f t="shared" si="16"/>
        <v>1.5994520547945205E-2</v>
      </c>
      <c r="D231" s="134">
        <f t="shared" si="17"/>
        <v>1.0924945205479453</v>
      </c>
      <c r="E231" s="133"/>
      <c r="N231" s="137">
        <f t="shared" si="18"/>
        <v>41809</v>
      </c>
      <c r="O231" s="136">
        <v>1</v>
      </c>
      <c r="P231" s="134">
        <f t="shared" si="19"/>
        <v>1.5994520547945205E-2</v>
      </c>
      <c r="Q231" s="134">
        <f t="shared" si="20"/>
        <v>1.0159945205479453</v>
      </c>
      <c r="R231" s="133"/>
    </row>
    <row r="232" spans="1:18" x14ac:dyDescent="0.2">
      <c r="A232" s="137">
        <v>41808</v>
      </c>
      <c r="B232" s="136">
        <v>1.0724500000000001</v>
      </c>
      <c r="C232" s="134">
        <f t="shared" si="16"/>
        <v>1.5879452054794522E-2</v>
      </c>
      <c r="D232" s="134">
        <f t="shared" si="17"/>
        <v>1.0883294520547946</v>
      </c>
      <c r="E232" s="133"/>
      <c r="N232" s="137">
        <f t="shared" si="18"/>
        <v>41808</v>
      </c>
      <c r="O232" s="136">
        <v>1</v>
      </c>
      <c r="P232" s="134">
        <f t="shared" si="19"/>
        <v>1.5879452054794522E-2</v>
      </c>
      <c r="Q232" s="134">
        <f t="shared" si="20"/>
        <v>1.0158794520547945</v>
      </c>
      <c r="R232" s="133"/>
    </row>
    <row r="233" spans="1:18" x14ac:dyDescent="0.2">
      <c r="A233" s="137">
        <v>41807</v>
      </c>
      <c r="B233" s="136">
        <v>1.08125</v>
      </c>
      <c r="C233" s="134">
        <f t="shared" si="16"/>
        <v>1.5764383561643835E-2</v>
      </c>
      <c r="D233" s="134">
        <f t="shared" si="17"/>
        <v>1.0970143835616439</v>
      </c>
      <c r="E233" s="133"/>
      <c r="N233" s="137">
        <f t="shared" si="18"/>
        <v>41807</v>
      </c>
      <c r="O233" s="136">
        <v>1</v>
      </c>
      <c r="P233" s="134">
        <f t="shared" si="19"/>
        <v>1.5764383561643835E-2</v>
      </c>
      <c r="Q233" s="134">
        <f t="shared" si="20"/>
        <v>1.0157643835616439</v>
      </c>
      <c r="R233" s="133"/>
    </row>
    <row r="234" spans="1:18" x14ac:dyDescent="0.2">
      <c r="A234" s="137">
        <v>41806</v>
      </c>
      <c r="B234" s="136">
        <v>1.08748</v>
      </c>
      <c r="C234" s="134">
        <f t="shared" si="16"/>
        <v>1.5649315068493153E-2</v>
      </c>
      <c r="D234" s="134">
        <f t="shared" si="17"/>
        <v>1.1031293150684931</v>
      </c>
      <c r="E234" s="133"/>
      <c r="N234" s="137">
        <f t="shared" si="18"/>
        <v>41806</v>
      </c>
      <c r="O234" s="136">
        <v>1</v>
      </c>
      <c r="P234" s="134">
        <f t="shared" si="19"/>
        <v>1.5649315068493153E-2</v>
      </c>
      <c r="Q234" s="134">
        <f t="shared" si="20"/>
        <v>1.0156493150684931</v>
      </c>
      <c r="R234" s="133"/>
    </row>
    <row r="235" spans="1:18" x14ac:dyDescent="0.2">
      <c r="A235" s="137">
        <v>41803</v>
      </c>
      <c r="B235" s="136">
        <v>1.0859799999999999</v>
      </c>
      <c r="C235" s="134">
        <f t="shared" si="16"/>
        <v>1.5304109589041097E-2</v>
      </c>
      <c r="D235" s="134">
        <f t="shared" si="17"/>
        <v>1.1012841095890411</v>
      </c>
      <c r="E235" s="133"/>
      <c r="N235" s="137">
        <f t="shared" si="18"/>
        <v>41803</v>
      </c>
      <c r="O235" s="136">
        <v>1</v>
      </c>
      <c r="P235" s="134">
        <f t="shared" si="19"/>
        <v>1.5304109589041097E-2</v>
      </c>
      <c r="Q235" s="134">
        <f t="shared" si="20"/>
        <v>1.0153041095890412</v>
      </c>
      <c r="R235" s="133"/>
    </row>
    <row r="236" spans="1:18" x14ac:dyDescent="0.2">
      <c r="A236" s="137">
        <v>41802</v>
      </c>
      <c r="B236" s="136">
        <v>1.0799799999999999</v>
      </c>
      <c r="C236" s="134">
        <f t="shared" si="16"/>
        <v>1.5189041095890412E-2</v>
      </c>
      <c r="D236" s="134">
        <f t="shared" si="17"/>
        <v>1.0951690410958903</v>
      </c>
      <c r="E236" s="133"/>
      <c r="N236" s="137">
        <f t="shared" si="18"/>
        <v>41802</v>
      </c>
      <c r="O236" s="136">
        <v>1</v>
      </c>
      <c r="P236" s="134">
        <f t="shared" si="19"/>
        <v>1.5189041095890412E-2</v>
      </c>
      <c r="Q236" s="134">
        <f t="shared" si="20"/>
        <v>1.0151890410958904</v>
      </c>
      <c r="R236" s="133"/>
    </row>
    <row r="237" spans="1:18" x14ac:dyDescent="0.2">
      <c r="A237" s="137">
        <v>41801</v>
      </c>
      <c r="B237" s="136">
        <v>1.0933999999999999</v>
      </c>
      <c r="C237" s="134">
        <f t="shared" si="16"/>
        <v>1.5073972602739728E-2</v>
      </c>
      <c r="D237" s="134">
        <f t="shared" si="17"/>
        <v>1.1084739726027397</v>
      </c>
      <c r="E237" s="133"/>
      <c r="N237" s="137">
        <f t="shared" si="18"/>
        <v>41801</v>
      </c>
      <c r="O237" s="136">
        <v>1</v>
      </c>
      <c r="P237" s="134">
        <f t="shared" si="19"/>
        <v>1.5073972602739728E-2</v>
      </c>
      <c r="Q237" s="134">
        <f t="shared" si="20"/>
        <v>1.0150739726027398</v>
      </c>
      <c r="R237" s="133"/>
    </row>
    <row r="238" spans="1:18" x14ac:dyDescent="0.2">
      <c r="A238" s="137">
        <v>41800</v>
      </c>
      <c r="B238" s="136">
        <v>1.09605</v>
      </c>
      <c r="C238" s="134">
        <f t="shared" si="16"/>
        <v>1.4958904109589041E-2</v>
      </c>
      <c r="D238" s="134">
        <f t="shared" si="17"/>
        <v>1.111008904109589</v>
      </c>
      <c r="E238" s="133"/>
      <c r="N238" s="137">
        <f t="shared" si="18"/>
        <v>41800</v>
      </c>
      <c r="O238" s="136">
        <v>1</v>
      </c>
      <c r="P238" s="134">
        <f t="shared" si="19"/>
        <v>1.4958904109589041E-2</v>
      </c>
      <c r="Q238" s="134">
        <f t="shared" si="20"/>
        <v>1.014958904109589</v>
      </c>
      <c r="R238" s="133"/>
    </row>
    <row r="239" spans="1:18" x14ac:dyDescent="0.2">
      <c r="A239" s="137">
        <v>41799</v>
      </c>
      <c r="B239" s="136">
        <v>1.1034999999999999</v>
      </c>
      <c r="C239" s="134">
        <f t="shared" si="16"/>
        <v>1.4843835616438357E-2</v>
      </c>
      <c r="D239" s="134">
        <f t="shared" si="17"/>
        <v>1.1183438356164384</v>
      </c>
      <c r="E239" s="133"/>
      <c r="N239" s="137">
        <f t="shared" si="18"/>
        <v>41799</v>
      </c>
      <c r="O239" s="136">
        <v>1</v>
      </c>
      <c r="P239" s="134">
        <f t="shared" si="19"/>
        <v>1.4843835616438357E-2</v>
      </c>
      <c r="Q239" s="134">
        <f t="shared" si="20"/>
        <v>1.0148438356164384</v>
      </c>
      <c r="R239" s="133"/>
    </row>
    <row r="240" spans="1:18" x14ac:dyDescent="0.2">
      <c r="A240" s="137">
        <v>41796</v>
      </c>
      <c r="B240" s="136">
        <v>1.0885800000000001</v>
      </c>
      <c r="C240" s="134">
        <f t="shared" si="16"/>
        <v>1.4498630136986303E-2</v>
      </c>
      <c r="D240" s="134">
        <f t="shared" si="17"/>
        <v>1.1030786301369864</v>
      </c>
      <c r="E240" s="133"/>
      <c r="N240" s="137">
        <f t="shared" si="18"/>
        <v>41796</v>
      </c>
      <c r="O240" s="136">
        <v>1</v>
      </c>
      <c r="P240" s="134">
        <f t="shared" si="19"/>
        <v>1.4498630136986303E-2</v>
      </c>
      <c r="Q240" s="134">
        <f t="shared" si="20"/>
        <v>1.0144986301369863</v>
      </c>
      <c r="R240" s="133"/>
    </row>
    <row r="241" spans="1:18" x14ac:dyDescent="0.2">
      <c r="A241" s="137">
        <v>41795</v>
      </c>
      <c r="B241" s="136">
        <v>1.06633</v>
      </c>
      <c r="C241" s="134">
        <f t="shared" si="16"/>
        <v>1.4383561643835616E-2</v>
      </c>
      <c r="D241" s="134">
        <f t="shared" si="17"/>
        <v>1.0807135616438357</v>
      </c>
      <c r="E241" s="133"/>
      <c r="N241" s="137">
        <f t="shared" si="18"/>
        <v>41795</v>
      </c>
      <c r="O241" s="136">
        <v>1</v>
      </c>
      <c r="P241" s="134">
        <f t="shared" si="19"/>
        <v>1.4383561643835616E-2</v>
      </c>
      <c r="Q241" s="134">
        <f t="shared" si="20"/>
        <v>1.0143835616438357</v>
      </c>
      <c r="R241" s="133"/>
    </row>
    <row r="242" spans="1:18" x14ac:dyDescent="0.2">
      <c r="A242" s="137">
        <v>41794</v>
      </c>
      <c r="B242" s="136">
        <v>1.0628</v>
      </c>
      <c r="C242" s="134">
        <f t="shared" si="16"/>
        <v>1.4268493150684932E-2</v>
      </c>
      <c r="D242" s="134">
        <f t="shared" si="17"/>
        <v>1.0770684931506849</v>
      </c>
      <c r="E242" s="133"/>
      <c r="N242" s="137">
        <f t="shared" si="18"/>
        <v>41794</v>
      </c>
      <c r="O242" s="136">
        <v>1</v>
      </c>
      <c r="P242" s="134">
        <f t="shared" si="19"/>
        <v>1.4268493150684932E-2</v>
      </c>
      <c r="Q242" s="134">
        <f t="shared" si="20"/>
        <v>1.0142684931506849</v>
      </c>
      <c r="R242" s="133"/>
    </row>
    <row r="243" spans="1:18" x14ac:dyDescent="0.2">
      <c r="A243" s="137">
        <v>41793</v>
      </c>
      <c r="B243" s="136">
        <v>1.0638300000000001</v>
      </c>
      <c r="C243" s="134">
        <f t="shared" si="16"/>
        <v>1.4153424657534247E-2</v>
      </c>
      <c r="D243" s="134">
        <f t="shared" si="17"/>
        <v>1.0779834246575344</v>
      </c>
      <c r="E243" s="133"/>
      <c r="N243" s="137">
        <f t="shared" si="18"/>
        <v>41793</v>
      </c>
      <c r="O243" s="136">
        <v>1</v>
      </c>
      <c r="P243" s="134">
        <f t="shared" si="19"/>
        <v>1.4153424657534247E-2</v>
      </c>
      <c r="Q243" s="134">
        <f t="shared" si="20"/>
        <v>1.0141534246575343</v>
      </c>
      <c r="R243" s="133"/>
    </row>
    <row r="244" spans="1:18" x14ac:dyDescent="0.2">
      <c r="A244" s="137">
        <v>41792</v>
      </c>
      <c r="B244" s="136">
        <v>1.06345</v>
      </c>
      <c r="C244" s="134">
        <f t="shared" si="16"/>
        <v>1.4038356164383562E-2</v>
      </c>
      <c r="D244" s="134">
        <f t="shared" si="17"/>
        <v>1.0774883561643835</v>
      </c>
      <c r="E244" s="133"/>
      <c r="N244" s="137">
        <f t="shared" si="18"/>
        <v>41792</v>
      </c>
      <c r="O244" s="136">
        <v>1</v>
      </c>
      <c r="P244" s="134">
        <f t="shared" si="19"/>
        <v>1.4038356164383562E-2</v>
      </c>
      <c r="Q244" s="134">
        <f t="shared" si="20"/>
        <v>1.0140383561643835</v>
      </c>
      <c r="R244" s="133"/>
    </row>
    <row r="245" spans="1:18" x14ac:dyDescent="0.2">
      <c r="A245" s="137">
        <v>41789</v>
      </c>
      <c r="B245" s="136">
        <v>1.0622</v>
      </c>
      <c r="C245" s="134">
        <f t="shared" si="16"/>
        <v>1.3693150684931507E-2</v>
      </c>
      <c r="D245" s="134">
        <f t="shared" si="17"/>
        <v>1.0758931506849316</v>
      </c>
      <c r="E245" s="133"/>
      <c r="N245" s="137">
        <f t="shared" si="18"/>
        <v>41789</v>
      </c>
      <c r="O245" s="136">
        <v>1</v>
      </c>
      <c r="P245" s="134">
        <f t="shared" si="19"/>
        <v>1.3693150684931507E-2</v>
      </c>
      <c r="Q245" s="134">
        <f t="shared" si="20"/>
        <v>1.0136931506849316</v>
      </c>
      <c r="R245" s="133"/>
    </row>
    <row r="246" spans="1:18" x14ac:dyDescent="0.2">
      <c r="A246" s="137">
        <v>41788</v>
      </c>
      <c r="B246" s="136">
        <v>1.0598999999999998</v>
      </c>
      <c r="C246" s="134">
        <f t="shared" si="16"/>
        <v>1.3578082191780824E-2</v>
      </c>
      <c r="D246" s="134">
        <f t="shared" si="17"/>
        <v>1.0734780821917806</v>
      </c>
      <c r="E246" s="133"/>
      <c r="N246" s="137">
        <f t="shared" si="18"/>
        <v>41788</v>
      </c>
      <c r="O246" s="136">
        <v>1</v>
      </c>
      <c r="P246" s="134">
        <f t="shared" si="19"/>
        <v>1.3578082191780824E-2</v>
      </c>
      <c r="Q246" s="134">
        <f t="shared" si="20"/>
        <v>1.0135780821917808</v>
      </c>
      <c r="R246" s="133"/>
    </row>
    <row r="247" spans="1:18" x14ac:dyDescent="0.2">
      <c r="A247" s="137">
        <v>41787</v>
      </c>
      <c r="B247" s="136">
        <v>1.0640499999999999</v>
      </c>
      <c r="C247" s="134">
        <f t="shared" si="16"/>
        <v>1.3463013698630139E-2</v>
      </c>
      <c r="D247" s="134">
        <f t="shared" si="17"/>
        <v>1.0775130136986302</v>
      </c>
      <c r="E247" s="133"/>
      <c r="N247" s="137">
        <f t="shared" si="18"/>
        <v>41787</v>
      </c>
      <c r="O247" s="136">
        <v>1</v>
      </c>
      <c r="P247" s="134">
        <f t="shared" si="19"/>
        <v>1.3463013698630139E-2</v>
      </c>
      <c r="Q247" s="134">
        <f t="shared" si="20"/>
        <v>1.0134630136986302</v>
      </c>
      <c r="R247" s="133"/>
    </row>
    <row r="248" spans="1:18" x14ac:dyDescent="0.2">
      <c r="A248" s="137">
        <v>41786</v>
      </c>
      <c r="B248" s="136">
        <v>1.05542</v>
      </c>
      <c r="C248" s="134">
        <f t="shared" si="16"/>
        <v>1.3347945205479451E-2</v>
      </c>
      <c r="D248" s="134">
        <f t="shared" si="17"/>
        <v>1.0687679452054795</v>
      </c>
      <c r="E248" s="133"/>
      <c r="N248" s="137">
        <f t="shared" si="18"/>
        <v>41786</v>
      </c>
      <c r="O248" s="136">
        <v>1</v>
      </c>
      <c r="P248" s="134">
        <f t="shared" si="19"/>
        <v>1.3347945205479451E-2</v>
      </c>
      <c r="Q248" s="134">
        <f t="shared" si="20"/>
        <v>1.0133479452054794</v>
      </c>
      <c r="R248" s="133"/>
    </row>
    <row r="249" spans="1:18" x14ac:dyDescent="0.2">
      <c r="A249" s="137">
        <v>41785</v>
      </c>
      <c r="B249" s="136">
        <v>1.0575000000000001</v>
      </c>
      <c r="C249" s="134">
        <f t="shared" si="16"/>
        <v>1.3232876712328766E-2</v>
      </c>
      <c r="D249" s="134">
        <f t="shared" si="17"/>
        <v>1.070732876712329</v>
      </c>
      <c r="E249" s="133"/>
      <c r="N249" s="137">
        <f t="shared" si="18"/>
        <v>41785</v>
      </c>
      <c r="O249" s="136">
        <v>1</v>
      </c>
      <c r="P249" s="134">
        <f t="shared" si="19"/>
        <v>1.3232876712328766E-2</v>
      </c>
      <c r="Q249" s="134">
        <f t="shared" si="20"/>
        <v>1.0132328767123289</v>
      </c>
      <c r="R249" s="133"/>
    </row>
    <row r="250" spans="1:18" x14ac:dyDescent="0.2">
      <c r="A250" s="137">
        <v>41782</v>
      </c>
      <c r="B250" s="136">
        <v>1.0434999999999999</v>
      </c>
      <c r="C250" s="134">
        <f t="shared" si="16"/>
        <v>1.2887671232876714E-2</v>
      </c>
      <c r="D250" s="134">
        <f t="shared" si="17"/>
        <v>1.0563876712328766</v>
      </c>
      <c r="E250" s="133"/>
      <c r="N250" s="137">
        <f t="shared" si="18"/>
        <v>41782</v>
      </c>
      <c r="O250" s="136">
        <v>1</v>
      </c>
      <c r="P250" s="134">
        <f t="shared" si="19"/>
        <v>1.2887671232876714E-2</v>
      </c>
      <c r="Q250" s="134">
        <f t="shared" si="20"/>
        <v>1.0128876712328767</v>
      </c>
      <c r="R250" s="133"/>
    </row>
    <row r="251" spans="1:18" x14ac:dyDescent="0.2">
      <c r="A251" s="137">
        <v>41781</v>
      </c>
      <c r="B251" s="136">
        <v>1.0339499999999999</v>
      </c>
      <c r="C251" s="134">
        <f t="shared" si="16"/>
        <v>1.2772602739726028E-2</v>
      </c>
      <c r="D251" s="134">
        <f t="shared" si="17"/>
        <v>1.0467226027397261</v>
      </c>
      <c r="E251" s="133"/>
      <c r="N251" s="137">
        <f t="shared" si="18"/>
        <v>41781</v>
      </c>
      <c r="O251" s="136">
        <v>1</v>
      </c>
      <c r="P251" s="134">
        <f t="shared" si="19"/>
        <v>1.2772602739726028E-2</v>
      </c>
      <c r="Q251" s="134">
        <f t="shared" si="20"/>
        <v>1.0127726027397261</v>
      </c>
      <c r="R251" s="133"/>
    </row>
    <row r="252" spans="1:18" x14ac:dyDescent="0.2">
      <c r="A252" s="137">
        <v>41780</v>
      </c>
      <c r="B252" s="136">
        <v>1.0407500000000001</v>
      </c>
      <c r="C252" s="134">
        <f t="shared" si="16"/>
        <v>1.2657534246575343E-2</v>
      </c>
      <c r="D252" s="134">
        <f t="shared" si="17"/>
        <v>1.0534075342465754</v>
      </c>
      <c r="E252" s="133"/>
      <c r="N252" s="137">
        <f t="shared" si="18"/>
        <v>41780</v>
      </c>
      <c r="O252" s="136">
        <v>1</v>
      </c>
      <c r="P252" s="134">
        <f t="shared" si="19"/>
        <v>1.2657534246575343E-2</v>
      </c>
      <c r="Q252" s="134">
        <f t="shared" si="20"/>
        <v>1.0126575342465753</v>
      </c>
      <c r="R252" s="133"/>
    </row>
    <row r="253" spans="1:18" x14ac:dyDescent="0.2">
      <c r="A253" s="137">
        <v>41779</v>
      </c>
      <c r="B253" s="136">
        <v>1.0297499999999999</v>
      </c>
      <c r="C253" s="134">
        <f t="shared" si="16"/>
        <v>1.2542465753424659E-2</v>
      </c>
      <c r="D253" s="134">
        <f t="shared" si="17"/>
        <v>1.0422924657534245</v>
      </c>
      <c r="E253" s="133"/>
      <c r="N253" s="137">
        <f t="shared" si="18"/>
        <v>41779</v>
      </c>
      <c r="O253" s="136">
        <v>1</v>
      </c>
      <c r="P253" s="134">
        <f t="shared" si="19"/>
        <v>1.2542465753424659E-2</v>
      </c>
      <c r="Q253" s="134">
        <f t="shared" si="20"/>
        <v>1.0125424657534245</v>
      </c>
      <c r="R253" s="133"/>
    </row>
    <row r="254" spans="1:18" x14ac:dyDescent="0.2">
      <c r="A254" s="137">
        <v>41778</v>
      </c>
      <c r="B254" s="136">
        <v>1.0441500000000001</v>
      </c>
      <c r="C254" s="134">
        <f t="shared" si="16"/>
        <v>1.2427397260273974E-2</v>
      </c>
      <c r="D254" s="134">
        <f t="shared" si="17"/>
        <v>1.0565773972602741</v>
      </c>
      <c r="E254" s="133"/>
      <c r="N254" s="137">
        <f t="shared" si="18"/>
        <v>41778</v>
      </c>
      <c r="O254" s="136">
        <v>1</v>
      </c>
      <c r="P254" s="134">
        <f t="shared" si="19"/>
        <v>1.2427397260273974E-2</v>
      </c>
      <c r="Q254" s="134">
        <f t="shared" si="20"/>
        <v>1.012427397260274</v>
      </c>
      <c r="R254" s="133"/>
    </row>
    <row r="255" spans="1:18" x14ac:dyDescent="0.2">
      <c r="A255" s="137">
        <v>41775</v>
      </c>
      <c r="B255" s="136">
        <v>1.0507</v>
      </c>
      <c r="C255" s="134">
        <f t="shared" si="16"/>
        <v>1.2082191780821918E-2</v>
      </c>
      <c r="D255" s="134">
        <f t="shared" si="17"/>
        <v>1.0627821917808218</v>
      </c>
      <c r="E255" s="133"/>
      <c r="N255" s="137">
        <f t="shared" si="18"/>
        <v>41775</v>
      </c>
      <c r="O255" s="136">
        <v>1</v>
      </c>
      <c r="P255" s="134">
        <f t="shared" si="19"/>
        <v>1.2082191780821918E-2</v>
      </c>
      <c r="Q255" s="134">
        <f t="shared" si="20"/>
        <v>1.0120821917808218</v>
      </c>
      <c r="R255" s="133"/>
    </row>
    <row r="256" spans="1:18" x14ac:dyDescent="0.2">
      <c r="A256" s="137">
        <v>41774</v>
      </c>
      <c r="B256" s="136">
        <v>1.0420499999999999</v>
      </c>
      <c r="C256" s="134">
        <f t="shared" si="16"/>
        <v>1.1967123287671234E-2</v>
      </c>
      <c r="D256" s="134">
        <f t="shared" si="17"/>
        <v>1.0540171232876712</v>
      </c>
      <c r="E256" s="133"/>
      <c r="N256" s="137">
        <f t="shared" si="18"/>
        <v>41774</v>
      </c>
      <c r="O256" s="136">
        <v>1</v>
      </c>
      <c r="P256" s="134">
        <f t="shared" si="19"/>
        <v>1.1967123287671234E-2</v>
      </c>
      <c r="Q256" s="134">
        <f t="shared" si="20"/>
        <v>1.0119671232876712</v>
      </c>
      <c r="R256" s="133"/>
    </row>
    <row r="257" spans="1:18" x14ac:dyDescent="0.2">
      <c r="A257" s="137">
        <v>41773</v>
      </c>
      <c r="B257" s="136">
        <v>1.0639799999999999</v>
      </c>
      <c r="C257" s="134">
        <f t="shared" si="16"/>
        <v>1.1852054794520549E-2</v>
      </c>
      <c r="D257" s="134">
        <f t="shared" si="17"/>
        <v>1.0758320547945204</v>
      </c>
      <c r="E257" s="133"/>
      <c r="N257" s="137">
        <f t="shared" si="18"/>
        <v>41773</v>
      </c>
      <c r="O257" s="136">
        <v>1</v>
      </c>
      <c r="P257" s="134">
        <f t="shared" si="19"/>
        <v>1.1852054794520549E-2</v>
      </c>
      <c r="Q257" s="134">
        <f t="shared" si="20"/>
        <v>1.0118520547945205</v>
      </c>
      <c r="R257" s="133"/>
    </row>
    <row r="258" spans="1:18" x14ac:dyDescent="0.2">
      <c r="A258" s="137">
        <v>41772</v>
      </c>
      <c r="B258" s="136">
        <v>1.0600499999999999</v>
      </c>
      <c r="C258" s="134">
        <f t="shared" si="16"/>
        <v>1.1736986301369864E-2</v>
      </c>
      <c r="D258" s="134">
        <f t="shared" si="17"/>
        <v>1.0717869863013698</v>
      </c>
      <c r="E258" s="133"/>
      <c r="N258" s="137">
        <f t="shared" si="18"/>
        <v>41772</v>
      </c>
      <c r="O258" s="136">
        <v>1</v>
      </c>
      <c r="P258" s="134">
        <f t="shared" si="19"/>
        <v>1.1736986301369864E-2</v>
      </c>
      <c r="Q258" s="134">
        <f t="shared" si="20"/>
        <v>1.0117369863013699</v>
      </c>
      <c r="R258" s="133"/>
    </row>
    <row r="259" spans="1:18" x14ac:dyDescent="0.2">
      <c r="A259" s="137">
        <v>41771</v>
      </c>
      <c r="B259" s="136">
        <v>1.05755</v>
      </c>
      <c r="C259" s="134">
        <f t="shared" si="16"/>
        <v>1.1621917808219178E-2</v>
      </c>
      <c r="D259" s="134">
        <f t="shared" si="17"/>
        <v>1.0691719178082191</v>
      </c>
      <c r="E259" s="133"/>
      <c r="N259" s="137">
        <f t="shared" si="18"/>
        <v>41771</v>
      </c>
      <c r="O259" s="136">
        <v>1</v>
      </c>
      <c r="P259" s="134">
        <f t="shared" si="19"/>
        <v>1.1621917808219178E-2</v>
      </c>
      <c r="Q259" s="134">
        <f t="shared" si="20"/>
        <v>1.0116219178082191</v>
      </c>
      <c r="R259" s="133"/>
    </row>
    <row r="260" spans="1:18" x14ac:dyDescent="0.2">
      <c r="A260" s="137">
        <v>41768</v>
      </c>
      <c r="B260" s="136">
        <v>1.0607</v>
      </c>
      <c r="C260" s="134">
        <f t="shared" si="16"/>
        <v>1.1276712328767124E-2</v>
      </c>
      <c r="D260" s="134">
        <f t="shared" si="17"/>
        <v>1.0719767123287671</v>
      </c>
      <c r="E260" s="133"/>
      <c r="N260" s="137">
        <f t="shared" si="18"/>
        <v>41768</v>
      </c>
      <c r="O260" s="136">
        <v>1</v>
      </c>
      <c r="P260" s="134">
        <f t="shared" si="19"/>
        <v>1.1276712328767124E-2</v>
      </c>
      <c r="Q260" s="134">
        <f t="shared" si="20"/>
        <v>1.0112767123287671</v>
      </c>
      <c r="R260" s="133"/>
    </row>
    <row r="261" spans="1:18" x14ac:dyDescent="0.2">
      <c r="A261" s="137">
        <v>41767</v>
      </c>
      <c r="B261" s="136">
        <v>1.0680500000000002</v>
      </c>
      <c r="C261" s="134">
        <f t="shared" si="16"/>
        <v>1.1161643835616438E-2</v>
      </c>
      <c r="D261" s="134">
        <f t="shared" si="17"/>
        <v>1.0792116438356165</v>
      </c>
      <c r="E261" s="133"/>
      <c r="N261" s="137">
        <f t="shared" si="18"/>
        <v>41767</v>
      </c>
      <c r="O261" s="136">
        <v>1</v>
      </c>
      <c r="P261" s="134">
        <f t="shared" si="19"/>
        <v>1.1161643835616438E-2</v>
      </c>
      <c r="Q261" s="134">
        <f t="shared" si="20"/>
        <v>1.0111616438356164</v>
      </c>
      <c r="R261" s="133"/>
    </row>
    <row r="262" spans="1:18" x14ac:dyDescent="0.2">
      <c r="A262" s="137">
        <v>41766</v>
      </c>
      <c r="B262" s="136">
        <v>1.05545</v>
      </c>
      <c r="C262" s="134">
        <f t="shared" ref="C262:C330" si="21">cuponbono*(A262-cupon2)/365</f>
        <v>1.1046575342465753E-2</v>
      </c>
      <c r="D262" s="134">
        <f t="shared" ref="D262:D325" si="22">C262+B262</f>
        <v>1.0664965753424658</v>
      </c>
      <c r="E262" s="133"/>
      <c r="N262" s="137">
        <f t="shared" ref="N262:N325" si="23">+A262</f>
        <v>41766</v>
      </c>
      <c r="O262" s="136">
        <v>1</v>
      </c>
      <c r="P262" s="134">
        <f t="shared" ref="P262:P325" si="24">+C262</f>
        <v>1.1046575342465753E-2</v>
      </c>
      <c r="Q262" s="134">
        <f t="shared" ref="Q262:Q325" si="25">P262+O262</f>
        <v>1.0110465753424658</v>
      </c>
      <c r="R262" s="133"/>
    </row>
    <row r="263" spans="1:18" x14ac:dyDescent="0.2">
      <c r="A263" s="137">
        <v>41765</v>
      </c>
      <c r="B263" s="136">
        <v>1.05955</v>
      </c>
      <c r="C263" s="134">
        <f t="shared" si="21"/>
        <v>1.0931506849315068E-2</v>
      </c>
      <c r="D263" s="134">
        <f t="shared" si="22"/>
        <v>1.070481506849315</v>
      </c>
      <c r="E263" s="133"/>
      <c r="N263" s="137">
        <f t="shared" si="23"/>
        <v>41765</v>
      </c>
      <c r="O263" s="136">
        <v>1</v>
      </c>
      <c r="P263" s="134">
        <f t="shared" si="24"/>
        <v>1.0931506849315068E-2</v>
      </c>
      <c r="Q263" s="134">
        <f t="shared" si="25"/>
        <v>1.010931506849315</v>
      </c>
      <c r="R263" s="133"/>
    </row>
    <row r="264" spans="1:18" x14ac:dyDescent="0.2">
      <c r="A264" s="137">
        <v>41764</v>
      </c>
      <c r="B264" s="136">
        <v>1.05203</v>
      </c>
      <c r="C264" s="134">
        <f t="shared" si="21"/>
        <v>1.0816438356164384E-2</v>
      </c>
      <c r="D264" s="134">
        <f t="shared" si="22"/>
        <v>1.0628464383561644</v>
      </c>
      <c r="E264" s="133"/>
      <c r="N264" s="137">
        <f t="shared" si="23"/>
        <v>41764</v>
      </c>
      <c r="O264" s="136">
        <v>1</v>
      </c>
      <c r="P264" s="134">
        <f t="shared" si="24"/>
        <v>1.0816438356164384E-2</v>
      </c>
      <c r="Q264" s="134">
        <f t="shared" si="25"/>
        <v>1.0108164383561644</v>
      </c>
      <c r="R264" s="133"/>
    </row>
    <row r="265" spans="1:18" x14ac:dyDescent="0.2">
      <c r="A265" s="137">
        <v>41761</v>
      </c>
      <c r="B265" s="136">
        <v>1.05175</v>
      </c>
      <c r="C265" s="134">
        <f t="shared" si="21"/>
        <v>1.0471232876712328E-2</v>
      </c>
      <c r="D265" s="134">
        <f t="shared" si="22"/>
        <v>1.0622212328767122</v>
      </c>
      <c r="E265" s="133"/>
      <c r="N265" s="137">
        <f t="shared" si="23"/>
        <v>41761</v>
      </c>
      <c r="O265" s="136">
        <v>1</v>
      </c>
      <c r="P265" s="134">
        <f t="shared" si="24"/>
        <v>1.0471232876712328E-2</v>
      </c>
      <c r="Q265" s="134">
        <f t="shared" si="25"/>
        <v>1.0104712328767123</v>
      </c>
      <c r="R265" s="133"/>
    </row>
    <row r="266" spans="1:18" x14ac:dyDescent="0.2">
      <c r="A266" s="137">
        <v>41760</v>
      </c>
      <c r="B266" s="136">
        <v>1.0459000000000001</v>
      </c>
      <c r="C266" s="134">
        <f t="shared" si="21"/>
        <v>1.0356164383561645E-2</v>
      </c>
      <c r="D266" s="134">
        <f t="shared" si="22"/>
        <v>1.0562561643835617</v>
      </c>
      <c r="E266" s="133"/>
      <c r="N266" s="137">
        <f t="shared" si="23"/>
        <v>41760</v>
      </c>
      <c r="O266" s="136">
        <v>1</v>
      </c>
      <c r="P266" s="134">
        <f t="shared" si="24"/>
        <v>1.0356164383561645E-2</v>
      </c>
      <c r="Q266" s="134">
        <f t="shared" si="25"/>
        <v>1.0103561643835617</v>
      </c>
      <c r="R266" s="133"/>
    </row>
    <row r="267" spans="1:18" x14ac:dyDescent="0.2">
      <c r="A267" s="137">
        <v>41759</v>
      </c>
      <c r="B267" s="136">
        <v>1.0454999999999999</v>
      </c>
      <c r="C267" s="134">
        <f t="shared" si="21"/>
        <v>1.0241095890410961E-2</v>
      </c>
      <c r="D267" s="134">
        <f t="shared" si="22"/>
        <v>1.0557410958904108</v>
      </c>
      <c r="E267" s="133"/>
      <c r="N267" s="137">
        <f t="shared" si="23"/>
        <v>41759</v>
      </c>
      <c r="O267" s="136">
        <v>1</v>
      </c>
      <c r="P267" s="134">
        <f t="shared" si="24"/>
        <v>1.0241095890410961E-2</v>
      </c>
      <c r="Q267" s="134">
        <f t="shared" si="25"/>
        <v>1.0102410958904109</v>
      </c>
      <c r="R267" s="133"/>
    </row>
    <row r="268" spans="1:18" x14ac:dyDescent="0.2">
      <c r="A268" s="137">
        <v>41758</v>
      </c>
      <c r="B268" s="136">
        <v>1.0438000000000001</v>
      </c>
      <c r="C268" s="134">
        <f t="shared" si="21"/>
        <v>1.0126027397260274E-2</v>
      </c>
      <c r="D268" s="134">
        <f t="shared" si="22"/>
        <v>1.0539260273972604</v>
      </c>
      <c r="E268" s="133"/>
      <c r="N268" s="137">
        <f t="shared" si="23"/>
        <v>41758</v>
      </c>
      <c r="O268" s="136">
        <v>1</v>
      </c>
      <c r="P268" s="134">
        <f t="shared" si="24"/>
        <v>1.0126027397260274E-2</v>
      </c>
      <c r="Q268" s="134">
        <f t="shared" si="25"/>
        <v>1.0101260273972603</v>
      </c>
      <c r="R268" s="133"/>
    </row>
    <row r="269" spans="1:18" x14ac:dyDescent="0.2">
      <c r="A269" s="137">
        <v>41757</v>
      </c>
      <c r="B269" s="136">
        <v>1.0452299999999999</v>
      </c>
      <c r="C269" s="134">
        <f t="shared" si="21"/>
        <v>1.001095890410959E-2</v>
      </c>
      <c r="D269" s="134">
        <f t="shared" si="22"/>
        <v>1.0552409589041094</v>
      </c>
      <c r="E269" s="133"/>
      <c r="N269" s="137">
        <f t="shared" si="23"/>
        <v>41757</v>
      </c>
      <c r="O269" s="136">
        <v>1</v>
      </c>
      <c r="P269" s="134">
        <f t="shared" si="24"/>
        <v>1.001095890410959E-2</v>
      </c>
      <c r="Q269" s="134">
        <f t="shared" si="25"/>
        <v>1.0100109589041095</v>
      </c>
      <c r="R269" s="133"/>
    </row>
    <row r="270" spans="1:18" x14ac:dyDescent="0.2">
      <c r="A270" s="137">
        <v>41754</v>
      </c>
      <c r="B270" s="136">
        <v>1.0460199999999999</v>
      </c>
      <c r="C270" s="134">
        <f t="shared" si="21"/>
        <v>9.665753424657534E-3</v>
      </c>
      <c r="D270" s="134">
        <f t="shared" si="22"/>
        <v>1.0556857534246575</v>
      </c>
      <c r="E270" s="133"/>
      <c r="N270" s="137">
        <f t="shared" si="23"/>
        <v>41754</v>
      </c>
      <c r="O270" s="136">
        <v>1</v>
      </c>
      <c r="P270" s="134">
        <f t="shared" si="24"/>
        <v>9.665753424657534E-3</v>
      </c>
      <c r="Q270" s="134">
        <f t="shared" si="25"/>
        <v>1.0096657534246576</v>
      </c>
      <c r="R270" s="133"/>
    </row>
    <row r="271" spans="1:18" x14ac:dyDescent="0.2">
      <c r="A271" s="137">
        <v>41753</v>
      </c>
      <c r="B271" s="136">
        <v>1.0420799999999999</v>
      </c>
      <c r="C271" s="134">
        <f t="shared" si="21"/>
        <v>9.5506849315068493E-3</v>
      </c>
      <c r="D271" s="134">
        <f t="shared" si="22"/>
        <v>1.0516306849315067</v>
      </c>
      <c r="E271" s="133"/>
      <c r="N271" s="137">
        <f t="shared" si="23"/>
        <v>41753</v>
      </c>
      <c r="O271" s="136">
        <v>1</v>
      </c>
      <c r="P271" s="134">
        <f t="shared" si="24"/>
        <v>9.5506849315068493E-3</v>
      </c>
      <c r="Q271" s="134">
        <f t="shared" si="25"/>
        <v>1.0095506849315068</v>
      </c>
      <c r="R271" s="133"/>
    </row>
    <row r="272" spans="1:18" x14ac:dyDescent="0.2">
      <c r="A272" s="137">
        <v>41752</v>
      </c>
      <c r="B272" s="136">
        <v>1.04383</v>
      </c>
      <c r="C272" s="134">
        <f t="shared" si="21"/>
        <v>9.4356164383561647E-3</v>
      </c>
      <c r="D272" s="134">
        <f t="shared" si="22"/>
        <v>1.0532656164383563</v>
      </c>
      <c r="E272" s="133"/>
      <c r="N272" s="137">
        <f t="shared" si="23"/>
        <v>41752</v>
      </c>
      <c r="O272" s="136">
        <v>1</v>
      </c>
      <c r="P272" s="134">
        <f t="shared" si="24"/>
        <v>9.4356164383561647E-3</v>
      </c>
      <c r="Q272" s="134">
        <f t="shared" si="25"/>
        <v>1.0094356164383562</v>
      </c>
      <c r="R272" s="133"/>
    </row>
    <row r="273" spans="1:18" x14ac:dyDescent="0.2">
      <c r="A273" s="137">
        <v>41751</v>
      </c>
      <c r="B273" s="136">
        <v>1.04078</v>
      </c>
      <c r="C273" s="134">
        <f t="shared" si="21"/>
        <v>9.3205479452054801E-3</v>
      </c>
      <c r="D273" s="134">
        <f t="shared" si="22"/>
        <v>1.0501005479452055</v>
      </c>
      <c r="E273" s="133"/>
      <c r="N273" s="137">
        <f t="shared" si="23"/>
        <v>41751</v>
      </c>
      <c r="O273" s="136">
        <v>1</v>
      </c>
      <c r="P273" s="134">
        <f t="shared" si="24"/>
        <v>9.3205479452054801E-3</v>
      </c>
      <c r="Q273" s="134">
        <f t="shared" si="25"/>
        <v>1.0093205479452054</v>
      </c>
      <c r="R273" s="133"/>
    </row>
    <row r="274" spans="1:18" x14ac:dyDescent="0.2">
      <c r="A274" s="137">
        <v>41750</v>
      </c>
      <c r="B274" s="136">
        <v>1.03613</v>
      </c>
      <c r="C274" s="134">
        <f t="shared" si="21"/>
        <v>9.2054794520547954E-3</v>
      </c>
      <c r="D274" s="134">
        <f t="shared" si="22"/>
        <v>1.0453354794520548</v>
      </c>
      <c r="E274" s="133"/>
      <c r="N274" s="137">
        <f t="shared" si="23"/>
        <v>41750</v>
      </c>
      <c r="O274" s="136">
        <v>1</v>
      </c>
      <c r="P274" s="134">
        <f t="shared" si="24"/>
        <v>9.2054794520547954E-3</v>
      </c>
      <c r="Q274" s="134">
        <f t="shared" si="25"/>
        <v>1.0092054794520549</v>
      </c>
      <c r="R274" s="133"/>
    </row>
    <row r="275" spans="1:18" x14ac:dyDescent="0.2">
      <c r="A275" s="137">
        <v>41747</v>
      </c>
      <c r="B275" s="136">
        <v>1.03613</v>
      </c>
      <c r="C275" s="134">
        <f t="shared" si="21"/>
        <v>8.8602739726027398E-3</v>
      </c>
      <c r="D275" s="134">
        <f t="shared" si="22"/>
        <v>1.0449902739726027</v>
      </c>
      <c r="E275" s="133"/>
      <c r="N275" s="137">
        <f t="shared" si="23"/>
        <v>41747</v>
      </c>
      <c r="O275" s="136">
        <v>1</v>
      </c>
      <c r="P275" s="134">
        <f t="shared" si="24"/>
        <v>8.8602739726027398E-3</v>
      </c>
      <c r="Q275" s="134">
        <f t="shared" si="25"/>
        <v>1.0088602739726027</v>
      </c>
      <c r="R275" s="133"/>
    </row>
    <row r="276" spans="1:18" x14ac:dyDescent="0.2">
      <c r="A276" s="137">
        <v>41746</v>
      </c>
      <c r="B276" s="136">
        <v>1.03613</v>
      </c>
      <c r="C276" s="134">
        <f t="shared" si="21"/>
        <v>8.7452054794520551E-3</v>
      </c>
      <c r="D276" s="134">
        <f t="shared" si="22"/>
        <v>1.0448752054794521</v>
      </c>
      <c r="E276" s="133"/>
      <c r="N276" s="137">
        <f t="shared" si="23"/>
        <v>41746</v>
      </c>
      <c r="O276" s="136">
        <v>1</v>
      </c>
      <c r="P276" s="134">
        <f t="shared" si="24"/>
        <v>8.7452054794520551E-3</v>
      </c>
      <c r="Q276" s="134">
        <f t="shared" si="25"/>
        <v>1.0087452054794521</v>
      </c>
      <c r="R276" s="133"/>
    </row>
    <row r="277" spans="1:18" x14ac:dyDescent="0.2">
      <c r="A277" s="137">
        <v>41745</v>
      </c>
      <c r="B277" s="136">
        <v>1.034</v>
      </c>
      <c r="C277" s="134">
        <f t="shared" si="21"/>
        <v>8.6301369863013705E-3</v>
      </c>
      <c r="D277" s="134">
        <f t="shared" si="22"/>
        <v>1.0426301369863014</v>
      </c>
      <c r="E277" s="133"/>
      <c r="N277" s="137">
        <f t="shared" si="23"/>
        <v>41745</v>
      </c>
      <c r="O277" s="136">
        <v>1</v>
      </c>
      <c r="P277" s="134">
        <f t="shared" si="24"/>
        <v>8.6301369863013705E-3</v>
      </c>
      <c r="Q277" s="134">
        <f t="shared" si="25"/>
        <v>1.0086301369863013</v>
      </c>
      <c r="R277" s="133"/>
    </row>
    <row r="278" spans="1:18" x14ac:dyDescent="0.2">
      <c r="A278" s="137">
        <v>41744</v>
      </c>
      <c r="B278" s="136">
        <v>1.0284</v>
      </c>
      <c r="C278" s="134">
        <f t="shared" si="21"/>
        <v>8.5150684931506859E-3</v>
      </c>
      <c r="D278" s="134">
        <f t="shared" si="22"/>
        <v>1.0369150684931507</v>
      </c>
      <c r="E278" s="133"/>
      <c r="N278" s="137">
        <f t="shared" si="23"/>
        <v>41744</v>
      </c>
      <c r="O278" s="136">
        <v>1</v>
      </c>
      <c r="P278" s="134">
        <f t="shared" si="24"/>
        <v>8.5150684931506859E-3</v>
      </c>
      <c r="Q278" s="134">
        <f t="shared" si="25"/>
        <v>1.0085150684931508</v>
      </c>
      <c r="R278" s="133"/>
    </row>
    <row r="279" spans="1:18" x14ac:dyDescent="0.2">
      <c r="A279" s="137">
        <v>41743</v>
      </c>
      <c r="B279" s="136">
        <v>1.0227299999999999</v>
      </c>
      <c r="C279" s="134">
        <f t="shared" si="21"/>
        <v>8.4000000000000012E-3</v>
      </c>
      <c r="D279" s="134">
        <f t="shared" si="22"/>
        <v>1.0311299999999999</v>
      </c>
      <c r="E279" s="133"/>
      <c r="N279" s="137">
        <f t="shared" si="23"/>
        <v>41743</v>
      </c>
      <c r="O279" s="136">
        <v>1</v>
      </c>
      <c r="P279" s="134">
        <f t="shared" si="24"/>
        <v>8.4000000000000012E-3</v>
      </c>
      <c r="Q279" s="134">
        <f t="shared" si="25"/>
        <v>1.0084</v>
      </c>
      <c r="R279" s="133"/>
    </row>
    <row r="280" spans="1:18" x14ac:dyDescent="0.2">
      <c r="A280" s="137">
        <v>41740</v>
      </c>
      <c r="B280" s="136">
        <v>1.0195999999999998</v>
      </c>
      <c r="C280" s="134">
        <f t="shared" si="21"/>
        <v>8.0547945205479456E-3</v>
      </c>
      <c r="D280" s="134">
        <f t="shared" si="22"/>
        <v>1.0276547945205479</v>
      </c>
      <c r="E280" s="133"/>
      <c r="N280" s="137">
        <f t="shared" si="23"/>
        <v>41740</v>
      </c>
      <c r="O280" s="136">
        <v>1</v>
      </c>
      <c r="P280" s="134">
        <f t="shared" si="24"/>
        <v>8.0547945205479456E-3</v>
      </c>
      <c r="Q280" s="134">
        <f t="shared" si="25"/>
        <v>1.008054794520548</v>
      </c>
      <c r="R280" s="133"/>
    </row>
    <row r="281" spans="1:18" x14ac:dyDescent="0.2">
      <c r="A281" s="137">
        <v>41739</v>
      </c>
      <c r="B281" s="136">
        <v>1.0231000000000001</v>
      </c>
      <c r="C281" s="134">
        <f t="shared" si="21"/>
        <v>7.9397260273972609E-3</v>
      </c>
      <c r="D281" s="134">
        <f t="shared" si="22"/>
        <v>1.0310397260273974</v>
      </c>
      <c r="E281" s="133"/>
      <c r="N281" s="137">
        <f t="shared" si="23"/>
        <v>41739</v>
      </c>
      <c r="O281" s="136">
        <v>1</v>
      </c>
      <c r="P281" s="134">
        <f t="shared" si="24"/>
        <v>7.9397260273972609E-3</v>
      </c>
      <c r="Q281" s="134">
        <f t="shared" si="25"/>
        <v>1.0079397260273972</v>
      </c>
      <c r="R281" s="133"/>
    </row>
    <row r="282" spans="1:18" x14ac:dyDescent="0.2">
      <c r="A282" s="137">
        <v>41738</v>
      </c>
      <c r="B282" s="136">
        <v>1.02078</v>
      </c>
      <c r="C282" s="134">
        <f t="shared" si="21"/>
        <v>7.8246575342465763E-3</v>
      </c>
      <c r="D282" s="134">
        <f t="shared" si="22"/>
        <v>1.0286046575342467</v>
      </c>
      <c r="E282" s="133"/>
      <c r="N282" s="137">
        <f t="shared" si="23"/>
        <v>41738</v>
      </c>
      <c r="O282" s="136">
        <v>1</v>
      </c>
      <c r="P282" s="134">
        <f t="shared" si="24"/>
        <v>7.8246575342465763E-3</v>
      </c>
      <c r="Q282" s="134">
        <f t="shared" si="25"/>
        <v>1.0078246575342467</v>
      </c>
      <c r="R282" s="133"/>
    </row>
    <row r="283" spans="1:18" x14ac:dyDescent="0.2">
      <c r="A283" s="137">
        <v>41737</v>
      </c>
      <c r="B283" s="136">
        <v>1.0201</v>
      </c>
      <c r="C283" s="134">
        <f t="shared" si="21"/>
        <v>7.7095890410958908E-3</v>
      </c>
      <c r="D283" s="134">
        <f t="shared" si="22"/>
        <v>1.0278095890410959</v>
      </c>
      <c r="E283" s="133"/>
      <c r="N283" s="137">
        <f t="shared" si="23"/>
        <v>41737</v>
      </c>
      <c r="O283" s="136">
        <v>1</v>
      </c>
      <c r="P283" s="134">
        <f t="shared" si="24"/>
        <v>7.7095890410958908E-3</v>
      </c>
      <c r="Q283" s="134">
        <f t="shared" si="25"/>
        <v>1.0077095890410959</v>
      </c>
      <c r="R283" s="133"/>
    </row>
    <row r="284" spans="1:18" x14ac:dyDescent="0.2">
      <c r="A284" s="137">
        <v>41736</v>
      </c>
      <c r="B284" s="136">
        <v>1.0244</v>
      </c>
      <c r="C284" s="134">
        <f t="shared" si="21"/>
        <v>7.5945205479452061E-3</v>
      </c>
      <c r="D284" s="134">
        <f t="shared" si="22"/>
        <v>1.0319945205479453</v>
      </c>
      <c r="E284" s="133"/>
      <c r="N284" s="137">
        <f t="shared" si="23"/>
        <v>41736</v>
      </c>
      <c r="O284" s="136">
        <v>1</v>
      </c>
      <c r="P284" s="134">
        <f t="shared" si="24"/>
        <v>7.5945205479452061E-3</v>
      </c>
      <c r="Q284" s="134">
        <f t="shared" si="25"/>
        <v>1.0075945205479453</v>
      </c>
      <c r="R284" s="133"/>
    </row>
    <row r="285" spans="1:18" x14ac:dyDescent="0.2">
      <c r="A285" s="137">
        <v>41733</v>
      </c>
      <c r="B285" s="136">
        <v>1.0265</v>
      </c>
      <c r="C285" s="134">
        <f t="shared" si="21"/>
        <v>7.2493150684931514E-3</v>
      </c>
      <c r="D285" s="134">
        <f t="shared" si="22"/>
        <v>1.0337493150684931</v>
      </c>
      <c r="E285" s="133"/>
      <c r="N285" s="137">
        <f t="shared" si="23"/>
        <v>41733</v>
      </c>
      <c r="O285" s="136">
        <v>1</v>
      </c>
      <c r="P285" s="134">
        <f t="shared" si="24"/>
        <v>7.2493150684931514E-3</v>
      </c>
      <c r="Q285" s="134">
        <f t="shared" si="25"/>
        <v>1.0072493150684931</v>
      </c>
      <c r="R285" s="133"/>
    </row>
    <row r="286" spans="1:18" x14ac:dyDescent="0.2">
      <c r="A286" s="137">
        <v>41732</v>
      </c>
      <c r="B286" s="136">
        <v>1.02268</v>
      </c>
      <c r="C286" s="134">
        <f t="shared" si="21"/>
        <v>7.1342465753424658E-3</v>
      </c>
      <c r="D286" s="134">
        <f t="shared" si="22"/>
        <v>1.0298142465753426</v>
      </c>
      <c r="E286" s="133"/>
      <c r="N286" s="137">
        <f t="shared" si="23"/>
        <v>41732</v>
      </c>
      <c r="O286" s="136">
        <v>1</v>
      </c>
      <c r="P286" s="134">
        <f t="shared" si="24"/>
        <v>7.1342465753424658E-3</v>
      </c>
      <c r="Q286" s="134">
        <f t="shared" si="25"/>
        <v>1.0071342465753426</v>
      </c>
      <c r="R286" s="133"/>
    </row>
    <row r="287" spans="1:18" x14ac:dyDescent="0.2">
      <c r="A287" s="137">
        <v>41731</v>
      </c>
      <c r="B287" s="136">
        <v>1.01945</v>
      </c>
      <c r="C287" s="134">
        <f t="shared" si="21"/>
        <v>7.0191780821917812E-3</v>
      </c>
      <c r="D287" s="134">
        <f t="shared" si="22"/>
        <v>1.0264691780821917</v>
      </c>
      <c r="E287" s="133"/>
      <c r="N287" s="137">
        <f t="shared" si="23"/>
        <v>41731</v>
      </c>
      <c r="O287" s="136">
        <v>1</v>
      </c>
      <c r="P287" s="134">
        <f t="shared" si="24"/>
        <v>7.0191780821917812E-3</v>
      </c>
      <c r="Q287" s="134">
        <f t="shared" si="25"/>
        <v>1.0070191780821918</v>
      </c>
      <c r="R287" s="133"/>
    </row>
    <row r="288" spans="1:18" x14ac:dyDescent="0.2">
      <c r="A288" s="137">
        <v>41730</v>
      </c>
      <c r="B288" s="136">
        <v>1.02322</v>
      </c>
      <c r="C288" s="134">
        <f t="shared" si="21"/>
        <v>6.9041095890410957E-3</v>
      </c>
      <c r="D288" s="134">
        <f t="shared" si="22"/>
        <v>1.0301241095890412</v>
      </c>
      <c r="E288" s="133"/>
      <c r="N288" s="137">
        <f t="shared" si="23"/>
        <v>41730</v>
      </c>
      <c r="O288" s="136">
        <v>1</v>
      </c>
      <c r="P288" s="134">
        <f t="shared" si="24"/>
        <v>6.9041095890410957E-3</v>
      </c>
      <c r="Q288" s="134">
        <f t="shared" si="25"/>
        <v>1.0069041095890412</v>
      </c>
      <c r="R288" s="133"/>
    </row>
    <row r="289" spans="1:18" x14ac:dyDescent="0.2">
      <c r="A289" s="137">
        <v>41729</v>
      </c>
      <c r="B289" s="136">
        <v>1.02583</v>
      </c>
      <c r="C289" s="134">
        <f t="shared" si="21"/>
        <v>6.7890410958904119E-3</v>
      </c>
      <c r="D289" s="134">
        <f t="shared" si="22"/>
        <v>1.0326190410958904</v>
      </c>
      <c r="E289" s="133"/>
      <c r="N289" s="137">
        <f t="shared" si="23"/>
        <v>41729</v>
      </c>
      <c r="O289" s="136">
        <v>1</v>
      </c>
      <c r="P289" s="134">
        <f t="shared" si="24"/>
        <v>6.7890410958904119E-3</v>
      </c>
      <c r="Q289" s="134">
        <f t="shared" si="25"/>
        <v>1.0067890410958904</v>
      </c>
      <c r="R289" s="133"/>
    </row>
    <row r="290" spans="1:18" x14ac:dyDescent="0.2">
      <c r="A290" s="137">
        <v>41726</v>
      </c>
      <c r="B290" s="136">
        <v>1.0246500000000001</v>
      </c>
      <c r="C290" s="134">
        <f t="shared" si="21"/>
        <v>6.4438356164383571E-3</v>
      </c>
      <c r="D290" s="134">
        <f t="shared" si="22"/>
        <v>1.0310938356164385</v>
      </c>
      <c r="E290" s="133"/>
      <c r="N290" s="137">
        <f t="shared" si="23"/>
        <v>41726</v>
      </c>
      <c r="O290" s="136">
        <v>1</v>
      </c>
      <c r="P290" s="134">
        <f t="shared" si="24"/>
        <v>6.4438356164383571E-3</v>
      </c>
      <c r="Q290" s="134">
        <f t="shared" si="25"/>
        <v>1.0064438356164385</v>
      </c>
      <c r="R290" s="133"/>
    </row>
    <row r="291" spans="1:18" x14ac:dyDescent="0.2">
      <c r="A291" s="137">
        <v>41725</v>
      </c>
      <c r="B291" s="136">
        <v>1.0234300000000001</v>
      </c>
      <c r="C291" s="134">
        <f t="shared" si="21"/>
        <v>6.3287671232876716E-3</v>
      </c>
      <c r="D291" s="134">
        <f t="shared" si="22"/>
        <v>1.0297587671232877</v>
      </c>
      <c r="E291" s="133"/>
      <c r="N291" s="137">
        <f t="shared" si="23"/>
        <v>41725</v>
      </c>
      <c r="O291" s="136">
        <v>1</v>
      </c>
      <c r="P291" s="134">
        <f t="shared" si="24"/>
        <v>6.3287671232876716E-3</v>
      </c>
      <c r="Q291" s="134">
        <f t="shared" si="25"/>
        <v>1.0063287671232877</v>
      </c>
      <c r="R291" s="133"/>
    </row>
    <row r="292" spans="1:18" x14ac:dyDescent="0.2">
      <c r="A292" s="137">
        <v>41724</v>
      </c>
      <c r="B292" s="136">
        <v>1.0204500000000001</v>
      </c>
      <c r="C292" s="134">
        <f t="shared" si="21"/>
        <v>6.213698630136987E-3</v>
      </c>
      <c r="D292" s="134">
        <f t="shared" si="22"/>
        <v>1.026663698630137</v>
      </c>
      <c r="E292" s="133"/>
      <c r="N292" s="137">
        <f t="shared" si="23"/>
        <v>41724</v>
      </c>
      <c r="O292" s="136">
        <v>1</v>
      </c>
      <c r="P292" s="134">
        <f t="shared" si="24"/>
        <v>6.213698630136987E-3</v>
      </c>
      <c r="Q292" s="134">
        <f t="shared" si="25"/>
        <v>1.0062136986301369</v>
      </c>
      <c r="R292" s="133"/>
    </row>
    <row r="293" spans="1:18" x14ac:dyDescent="0.2">
      <c r="A293" s="137">
        <v>41723</v>
      </c>
      <c r="B293" s="136">
        <v>1.01518</v>
      </c>
      <c r="C293" s="134">
        <f t="shared" si="21"/>
        <v>6.0986301369863015E-3</v>
      </c>
      <c r="D293" s="134">
        <f t="shared" si="22"/>
        <v>1.0212786301369863</v>
      </c>
      <c r="E293" s="133"/>
      <c r="N293" s="137">
        <f t="shared" si="23"/>
        <v>41723</v>
      </c>
      <c r="O293" s="136">
        <v>1</v>
      </c>
      <c r="P293" s="134">
        <f t="shared" si="24"/>
        <v>6.0986301369863015E-3</v>
      </c>
      <c r="Q293" s="134">
        <f t="shared" si="25"/>
        <v>1.0060986301369863</v>
      </c>
      <c r="R293" s="133"/>
    </row>
    <row r="294" spans="1:18" x14ac:dyDescent="0.2">
      <c r="A294" s="137">
        <v>41722</v>
      </c>
      <c r="B294" s="136">
        <v>1.01197</v>
      </c>
      <c r="C294" s="134">
        <f t="shared" si="21"/>
        <v>5.9835616438356169E-3</v>
      </c>
      <c r="D294" s="134">
        <f t="shared" si="22"/>
        <v>1.0179535616438355</v>
      </c>
      <c r="E294" s="133"/>
      <c r="N294" s="137">
        <f t="shared" si="23"/>
        <v>41722</v>
      </c>
      <c r="O294" s="136">
        <v>1</v>
      </c>
      <c r="P294" s="134">
        <f t="shared" si="24"/>
        <v>5.9835616438356169E-3</v>
      </c>
      <c r="Q294" s="134">
        <f t="shared" si="25"/>
        <v>1.0059835616438355</v>
      </c>
      <c r="R294" s="133"/>
    </row>
    <row r="295" spans="1:18" x14ac:dyDescent="0.2">
      <c r="A295" s="137">
        <v>41719</v>
      </c>
      <c r="B295" s="136">
        <v>1.0098799999999999</v>
      </c>
      <c r="C295" s="134">
        <f t="shared" si="21"/>
        <v>5.6383561643835621E-3</v>
      </c>
      <c r="D295" s="134">
        <f t="shared" si="22"/>
        <v>1.0155183561643835</v>
      </c>
      <c r="E295" s="133"/>
      <c r="N295" s="137">
        <f t="shared" si="23"/>
        <v>41719</v>
      </c>
      <c r="O295" s="136">
        <v>1</v>
      </c>
      <c r="P295" s="134">
        <f t="shared" si="24"/>
        <v>5.6383561643835621E-3</v>
      </c>
      <c r="Q295" s="134">
        <f t="shared" si="25"/>
        <v>1.0056383561643836</v>
      </c>
      <c r="R295" s="133"/>
    </row>
    <row r="296" spans="1:18" x14ac:dyDescent="0.2">
      <c r="A296" s="137">
        <v>41718</v>
      </c>
      <c r="B296" s="136">
        <v>1.0061</v>
      </c>
      <c r="C296" s="134">
        <f t="shared" si="21"/>
        <v>5.5232876712328766E-3</v>
      </c>
      <c r="D296" s="134">
        <f t="shared" si="22"/>
        <v>1.0116232876712328</v>
      </c>
      <c r="E296" s="133"/>
      <c r="N296" s="137">
        <f t="shared" si="23"/>
        <v>41718</v>
      </c>
      <c r="O296" s="136">
        <v>1</v>
      </c>
      <c r="P296" s="134">
        <f t="shared" si="24"/>
        <v>5.5232876712328766E-3</v>
      </c>
      <c r="Q296" s="134">
        <f t="shared" si="25"/>
        <v>1.0055232876712328</v>
      </c>
      <c r="R296" s="133"/>
    </row>
    <row r="297" spans="1:18" x14ac:dyDescent="0.2">
      <c r="A297" s="137">
        <v>41717</v>
      </c>
      <c r="B297" s="136">
        <v>1.01135</v>
      </c>
      <c r="C297" s="134">
        <f t="shared" si="21"/>
        <v>5.4082191780821919E-3</v>
      </c>
      <c r="D297" s="134">
        <f t="shared" si="22"/>
        <v>1.0167582191780822</v>
      </c>
      <c r="E297" s="133"/>
      <c r="N297" s="137">
        <f t="shared" si="23"/>
        <v>41717</v>
      </c>
      <c r="O297" s="136">
        <v>1</v>
      </c>
      <c r="P297" s="134">
        <f t="shared" si="24"/>
        <v>5.4082191780821919E-3</v>
      </c>
      <c r="Q297" s="134">
        <f t="shared" si="25"/>
        <v>1.0054082191780822</v>
      </c>
      <c r="R297" s="133"/>
    </row>
    <row r="298" spans="1:18" x14ac:dyDescent="0.2">
      <c r="A298" s="137">
        <v>41716</v>
      </c>
      <c r="B298" s="136">
        <v>1.01488</v>
      </c>
      <c r="C298" s="134">
        <f t="shared" si="21"/>
        <v>5.2931506849315073E-3</v>
      </c>
      <c r="D298" s="134">
        <f t="shared" si="22"/>
        <v>1.0201731506849314</v>
      </c>
      <c r="E298" s="133"/>
      <c r="N298" s="137">
        <f t="shared" si="23"/>
        <v>41716</v>
      </c>
      <c r="O298" s="136">
        <v>1</v>
      </c>
      <c r="P298" s="134">
        <f t="shared" si="24"/>
        <v>5.2931506849315073E-3</v>
      </c>
      <c r="Q298" s="134">
        <f t="shared" si="25"/>
        <v>1.0052931506849314</v>
      </c>
      <c r="R298" s="133"/>
    </row>
    <row r="299" spans="1:18" x14ac:dyDescent="0.2">
      <c r="A299" s="137">
        <v>41715</v>
      </c>
      <c r="B299" s="136">
        <v>1.01352</v>
      </c>
      <c r="C299" s="134">
        <f t="shared" si="21"/>
        <v>5.1780821917808226E-3</v>
      </c>
      <c r="D299" s="134">
        <f t="shared" si="22"/>
        <v>1.0186980821917808</v>
      </c>
      <c r="E299" s="133"/>
      <c r="N299" s="137">
        <f t="shared" si="23"/>
        <v>41715</v>
      </c>
      <c r="O299" s="136">
        <v>1</v>
      </c>
      <c r="P299" s="134">
        <f t="shared" si="24"/>
        <v>5.1780821917808226E-3</v>
      </c>
      <c r="Q299" s="134">
        <f t="shared" si="25"/>
        <v>1.0051780821917808</v>
      </c>
      <c r="R299" s="133"/>
    </row>
    <row r="300" spans="1:18" x14ac:dyDescent="0.2">
      <c r="A300" s="137">
        <v>41712</v>
      </c>
      <c r="B300" s="136">
        <v>1.01363</v>
      </c>
      <c r="C300" s="134">
        <f t="shared" si="21"/>
        <v>4.832876712328767E-3</v>
      </c>
      <c r="D300" s="134">
        <f t="shared" si="22"/>
        <v>1.0184628767123287</v>
      </c>
      <c r="E300" s="133"/>
      <c r="N300" s="137">
        <f t="shared" si="23"/>
        <v>41712</v>
      </c>
      <c r="O300" s="136">
        <v>1</v>
      </c>
      <c r="P300" s="134">
        <f t="shared" si="24"/>
        <v>4.832876712328767E-3</v>
      </c>
      <c r="Q300" s="134">
        <f t="shared" si="25"/>
        <v>1.0048328767123287</v>
      </c>
      <c r="R300" s="133"/>
    </row>
    <row r="301" spans="1:18" x14ac:dyDescent="0.2">
      <c r="A301" s="137">
        <v>41711</v>
      </c>
      <c r="B301" s="136">
        <v>1.0090999999999999</v>
      </c>
      <c r="C301" s="134">
        <f t="shared" si="21"/>
        <v>4.7178082191780824E-3</v>
      </c>
      <c r="D301" s="134">
        <f t="shared" si="22"/>
        <v>1.013817808219178</v>
      </c>
      <c r="E301" s="133"/>
      <c r="N301" s="137">
        <f t="shared" si="23"/>
        <v>41711</v>
      </c>
      <c r="O301" s="136">
        <v>1</v>
      </c>
      <c r="P301" s="134">
        <f t="shared" si="24"/>
        <v>4.7178082191780824E-3</v>
      </c>
      <c r="Q301" s="134">
        <f t="shared" si="25"/>
        <v>1.0047178082191781</v>
      </c>
      <c r="R301" s="133"/>
    </row>
    <row r="302" spans="1:18" x14ac:dyDescent="0.2">
      <c r="A302" s="137">
        <v>41710</v>
      </c>
      <c r="B302" s="136">
        <v>1.0139</v>
      </c>
      <c r="C302" s="134">
        <f t="shared" si="21"/>
        <v>4.6027397260273977E-3</v>
      </c>
      <c r="D302" s="134">
        <f t="shared" si="22"/>
        <v>1.0185027397260273</v>
      </c>
      <c r="E302" s="133"/>
      <c r="N302" s="137">
        <f t="shared" si="23"/>
        <v>41710</v>
      </c>
      <c r="O302" s="136">
        <v>1</v>
      </c>
      <c r="P302" s="134">
        <f t="shared" si="24"/>
        <v>4.6027397260273977E-3</v>
      </c>
      <c r="Q302" s="134">
        <f t="shared" si="25"/>
        <v>1.0046027397260273</v>
      </c>
      <c r="R302" s="133"/>
    </row>
    <row r="303" spans="1:18" x14ac:dyDescent="0.2">
      <c r="A303" s="137">
        <v>41709</v>
      </c>
      <c r="B303" s="136">
        <v>1.01563</v>
      </c>
      <c r="C303" s="134">
        <f t="shared" si="21"/>
        <v>4.4876712328767131E-3</v>
      </c>
      <c r="D303" s="134">
        <f t="shared" si="22"/>
        <v>1.0201176712328768</v>
      </c>
      <c r="E303" s="133"/>
      <c r="N303" s="137">
        <f t="shared" si="23"/>
        <v>41709</v>
      </c>
      <c r="O303" s="136">
        <v>1</v>
      </c>
      <c r="P303" s="134">
        <f t="shared" si="24"/>
        <v>4.4876712328767131E-3</v>
      </c>
      <c r="Q303" s="134">
        <f t="shared" si="25"/>
        <v>1.0044876712328767</v>
      </c>
      <c r="R303" s="133"/>
    </row>
    <row r="304" spans="1:18" x14ac:dyDescent="0.2">
      <c r="A304" s="137">
        <v>41708</v>
      </c>
      <c r="B304" s="136">
        <v>1.01762</v>
      </c>
      <c r="C304" s="134">
        <f t="shared" si="21"/>
        <v>4.3726027397260276E-3</v>
      </c>
      <c r="D304" s="134">
        <f t="shared" si="22"/>
        <v>1.0219926027397259</v>
      </c>
      <c r="E304" s="133"/>
      <c r="N304" s="137">
        <f t="shared" si="23"/>
        <v>41708</v>
      </c>
      <c r="O304" s="136">
        <v>1</v>
      </c>
      <c r="P304" s="134">
        <f t="shared" si="24"/>
        <v>4.3726027397260276E-3</v>
      </c>
      <c r="Q304" s="134">
        <f t="shared" si="25"/>
        <v>1.004372602739726</v>
      </c>
      <c r="R304" s="133"/>
    </row>
    <row r="305" spans="1:18" x14ac:dyDescent="0.2">
      <c r="A305" s="137">
        <v>41705</v>
      </c>
      <c r="B305" s="136">
        <v>1.0087300000000001</v>
      </c>
      <c r="C305" s="134">
        <f t="shared" si="21"/>
        <v>4.0273972602739728E-3</v>
      </c>
      <c r="D305" s="134">
        <f t="shared" si="22"/>
        <v>1.0127573972602741</v>
      </c>
      <c r="E305" s="133"/>
      <c r="N305" s="137">
        <f t="shared" si="23"/>
        <v>41705</v>
      </c>
      <c r="O305" s="136">
        <v>1</v>
      </c>
      <c r="P305" s="134">
        <f t="shared" si="24"/>
        <v>4.0273972602739728E-3</v>
      </c>
      <c r="Q305" s="134">
        <f t="shared" si="25"/>
        <v>1.004027397260274</v>
      </c>
      <c r="R305" s="133"/>
    </row>
    <row r="306" spans="1:18" x14ac:dyDescent="0.2">
      <c r="A306" s="137">
        <v>41704</v>
      </c>
      <c r="B306" s="136">
        <v>1.0053799999999999</v>
      </c>
      <c r="C306" s="134">
        <f t="shared" si="21"/>
        <v>3.9123287671232881E-3</v>
      </c>
      <c r="D306" s="134">
        <f t="shared" si="22"/>
        <v>1.0092923287671232</v>
      </c>
      <c r="E306" s="133"/>
      <c r="N306" s="137">
        <f t="shared" si="23"/>
        <v>41704</v>
      </c>
      <c r="O306" s="136">
        <v>1</v>
      </c>
      <c r="P306" s="134">
        <f t="shared" si="24"/>
        <v>3.9123287671232881E-3</v>
      </c>
      <c r="Q306" s="134">
        <f t="shared" si="25"/>
        <v>1.0039123287671232</v>
      </c>
      <c r="R306" s="133"/>
    </row>
    <row r="307" spans="1:18" x14ac:dyDescent="0.2">
      <c r="A307" s="137">
        <v>41703</v>
      </c>
      <c r="B307" s="136">
        <v>1.0114799999999999</v>
      </c>
      <c r="C307" s="134">
        <f t="shared" si="21"/>
        <v>3.7972602739726031E-3</v>
      </c>
      <c r="D307" s="134">
        <f t="shared" si="22"/>
        <v>1.0152772602739726</v>
      </c>
      <c r="E307" s="133"/>
      <c r="N307" s="137">
        <f t="shared" si="23"/>
        <v>41703</v>
      </c>
      <c r="O307" s="136">
        <v>1</v>
      </c>
      <c r="P307" s="134">
        <f t="shared" si="24"/>
        <v>3.7972602739726031E-3</v>
      </c>
      <c r="Q307" s="134">
        <f t="shared" si="25"/>
        <v>1.0037972602739726</v>
      </c>
      <c r="R307" s="133"/>
    </row>
    <row r="308" spans="1:18" x14ac:dyDescent="0.2">
      <c r="A308" s="137">
        <v>41702</v>
      </c>
      <c r="B308" s="136">
        <v>1.00393</v>
      </c>
      <c r="C308" s="134">
        <f t="shared" si="21"/>
        <v>3.682191780821918E-3</v>
      </c>
      <c r="D308" s="134">
        <f t="shared" si="22"/>
        <v>1.0076121917808218</v>
      </c>
      <c r="E308" s="133"/>
      <c r="N308" s="137">
        <f t="shared" si="23"/>
        <v>41702</v>
      </c>
      <c r="O308" s="136">
        <v>1</v>
      </c>
      <c r="P308" s="134">
        <f t="shared" si="24"/>
        <v>3.682191780821918E-3</v>
      </c>
      <c r="Q308" s="134">
        <f t="shared" si="25"/>
        <v>1.0036821917808219</v>
      </c>
      <c r="R308" s="133"/>
    </row>
    <row r="309" spans="1:18" x14ac:dyDescent="0.2">
      <c r="A309" s="137">
        <v>41701</v>
      </c>
      <c r="B309" s="136">
        <v>0.99260000000000004</v>
      </c>
      <c r="C309" s="134">
        <f t="shared" si="21"/>
        <v>3.5671232876712329E-3</v>
      </c>
      <c r="D309" s="134">
        <f t="shared" si="22"/>
        <v>0.99616712328767132</v>
      </c>
      <c r="E309" s="133"/>
      <c r="N309" s="137">
        <f t="shared" si="23"/>
        <v>41701</v>
      </c>
      <c r="O309" s="136">
        <v>1</v>
      </c>
      <c r="P309" s="134">
        <f t="shared" si="24"/>
        <v>3.5671232876712329E-3</v>
      </c>
      <c r="Q309" s="134">
        <f t="shared" si="25"/>
        <v>1.0035671232876713</v>
      </c>
      <c r="R309" s="133"/>
    </row>
    <row r="310" spans="1:18" x14ac:dyDescent="0.2">
      <c r="A310" s="137">
        <v>41698</v>
      </c>
      <c r="B310" s="136">
        <v>0.99093000000000009</v>
      </c>
      <c r="C310" s="134">
        <f t="shared" si="21"/>
        <v>3.2219178082191786E-3</v>
      </c>
      <c r="D310" s="134">
        <f t="shared" si="22"/>
        <v>0.99415191780821932</v>
      </c>
      <c r="E310" s="133"/>
      <c r="N310" s="137">
        <f t="shared" si="23"/>
        <v>41698</v>
      </c>
      <c r="O310" s="136">
        <v>1</v>
      </c>
      <c r="P310" s="134">
        <f t="shared" si="24"/>
        <v>3.2219178082191786E-3</v>
      </c>
      <c r="Q310" s="134">
        <f t="shared" si="25"/>
        <v>1.0032219178082191</v>
      </c>
      <c r="R310" s="133"/>
    </row>
    <row r="311" spans="1:18" x14ac:dyDescent="0.2">
      <c r="A311" s="137">
        <v>41697</v>
      </c>
      <c r="B311" s="136">
        <v>0.99028000000000005</v>
      </c>
      <c r="C311" s="134">
        <f t="shared" si="21"/>
        <v>3.1068493150684935E-3</v>
      </c>
      <c r="D311" s="134">
        <f t="shared" si="22"/>
        <v>0.99338684931506849</v>
      </c>
      <c r="E311" s="133"/>
      <c r="N311" s="137">
        <f t="shared" si="23"/>
        <v>41697</v>
      </c>
      <c r="O311" s="136">
        <v>1</v>
      </c>
      <c r="P311" s="134">
        <f t="shared" si="24"/>
        <v>3.1068493150684935E-3</v>
      </c>
      <c r="Q311" s="134">
        <f t="shared" si="25"/>
        <v>1.0031068493150685</v>
      </c>
      <c r="R311" s="133"/>
    </row>
    <row r="312" spans="1:18" x14ac:dyDescent="0.2">
      <c r="A312" s="137">
        <v>41696</v>
      </c>
      <c r="B312" s="136">
        <v>0.98549999999999993</v>
      </c>
      <c r="C312" s="134">
        <f t="shared" si="21"/>
        <v>2.9917808219178084E-3</v>
      </c>
      <c r="D312" s="134">
        <f t="shared" si="22"/>
        <v>0.98849178082191769</v>
      </c>
      <c r="E312" s="133"/>
      <c r="N312" s="137">
        <f t="shared" si="23"/>
        <v>41696</v>
      </c>
      <c r="O312" s="136">
        <v>1</v>
      </c>
      <c r="P312" s="134">
        <f t="shared" si="24"/>
        <v>2.9917808219178084E-3</v>
      </c>
      <c r="Q312" s="134">
        <f t="shared" si="25"/>
        <v>1.0029917808219178</v>
      </c>
      <c r="R312" s="133"/>
    </row>
    <row r="313" spans="1:18" x14ac:dyDescent="0.2">
      <c r="A313" s="137">
        <v>41695</v>
      </c>
      <c r="B313" s="136">
        <v>0.98292000000000002</v>
      </c>
      <c r="C313" s="134">
        <f t="shared" si="21"/>
        <v>2.8767123287671234E-3</v>
      </c>
      <c r="D313" s="134">
        <f t="shared" si="22"/>
        <v>0.98579671232876709</v>
      </c>
      <c r="E313" s="133"/>
      <c r="N313" s="137">
        <f t="shared" si="23"/>
        <v>41695</v>
      </c>
      <c r="O313" s="136">
        <v>1</v>
      </c>
      <c r="P313" s="134">
        <f t="shared" si="24"/>
        <v>2.8767123287671234E-3</v>
      </c>
      <c r="Q313" s="134">
        <f t="shared" si="25"/>
        <v>1.0028767123287672</v>
      </c>
      <c r="R313" s="133"/>
    </row>
    <row r="314" spans="1:18" x14ac:dyDescent="0.2">
      <c r="A314" s="137">
        <v>41694</v>
      </c>
      <c r="B314" s="136">
        <v>0.98105000000000009</v>
      </c>
      <c r="C314" s="134">
        <f t="shared" si="21"/>
        <v>2.7616438356164383E-3</v>
      </c>
      <c r="D314" s="134">
        <f t="shared" si="22"/>
        <v>0.98381164383561648</v>
      </c>
      <c r="E314" s="133"/>
      <c r="N314" s="137">
        <f t="shared" si="23"/>
        <v>41694</v>
      </c>
      <c r="O314" s="136">
        <v>1</v>
      </c>
      <c r="P314" s="134">
        <f t="shared" si="24"/>
        <v>2.7616438356164383E-3</v>
      </c>
      <c r="Q314" s="134">
        <f t="shared" si="25"/>
        <v>1.0027616438356164</v>
      </c>
      <c r="R314" s="133"/>
    </row>
    <row r="315" spans="1:18" x14ac:dyDescent="0.2">
      <c r="A315" s="137">
        <v>41691</v>
      </c>
      <c r="B315" s="136">
        <v>0.98212999999999995</v>
      </c>
      <c r="C315" s="134">
        <f t="shared" si="21"/>
        <v>2.4164383561643835E-3</v>
      </c>
      <c r="D315" s="134">
        <f t="shared" si="22"/>
        <v>0.98454643835616429</v>
      </c>
      <c r="E315" s="133"/>
      <c r="N315" s="137">
        <f t="shared" si="23"/>
        <v>41691</v>
      </c>
      <c r="O315" s="136">
        <v>1</v>
      </c>
      <c r="P315" s="134">
        <f t="shared" si="24"/>
        <v>2.4164383561643835E-3</v>
      </c>
      <c r="Q315" s="134">
        <f t="shared" si="25"/>
        <v>1.0024164383561645</v>
      </c>
      <c r="R315" s="133"/>
    </row>
    <row r="316" spans="1:18" x14ac:dyDescent="0.2">
      <c r="A316" s="137">
        <v>41690</v>
      </c>
      <c r="B316" s="136">
        <v>0.97665000000000002</v>
      </c>
      <c r="C316" s="134">
        <f t="shared" si="21"/>
        <v>2.3013698630136989E-3</v>
      </c>
      <c r="D316" s="134">
        <f t="shared" si="22"/>
        <v>0.97895136986301368</v>
      </c>
      <c r="E316" s="133"/>
      <c r="N316" s="137">
        <f t="shared" si="23"/>
        <v>41690</v>
      </c>
      <c r="O316" s="136">
        <v>1</v>
      </c>
      <c r="P316" s="134">
        <f t="shared" si="24"/>
        <v>2.3013698630136989E-3</v>
      </c>
      <c r="Q316" s="134">
        <f t="shared" si="25"/>
        <v>1.0023013698630137</v>
      </c>
      <c r="R316" s="133"/>
    </row>
    <row r="317" spans="1:18" x14ac:dyDescent="0.2">
      <c r="A317" s="137">
        <v>41689</v>
      </c>
      <c r="B317" s="136">
        <v>0.98349999999999993</v>
      </c>
      <c r="C317" s="134">
        <f t="shared" si="21"/>
        <v>2.1863013698630138E-3</v>
      </c>
      <c r="D317" s="134">
        <f t="shared" si="22"/>
        <v>0.98568630136986291</v>
      </c>
      <c r="E317" s="133"/>
      <c r="N317" s="137">
        <f t="shared" si="23"/>
        <v>41689</v>
      </c>
      <c r="O317" s="136">
        <v>1</v>
      </c>
      <c r="P317" s="134">
        <f t="shared" si="24"/>
        <v>2.1863013698630138E-3</v>
      </c>
      <c r="Q317" s="134">
        <f t="shared" si="25"/>
        <v>1.0021863013698631</v>
      </c>
      <c r="R317" s="133"/>
    </row>
    <row r="318" spans="1:18" x14ac:dyDescent="0.2">
      <c r="A318" s="137">
        <v>41688</v>
      </c>
      <c r="B318" s="136">
        <v>0.98787999999999998</v>
      </c>
      <c r="C318" s="134">
        <f t="shared" si="21"/>
        <v>2.0712328767123287E-3</v>
      </c>
      <c r="D318" s="134">
        <f t="shared" si="22"/>
        <v>0.98995123287671227</v>
      </c>
      <c r="E318" s="133"/>
      <c r="N318" s="137">
        <f t="shared" si="23"/>
        <v>41688</v>
      </c>
      <c r="O318" s="136">
        <v>1</v>
      </c>
      <c r="P318" s="134">
        <f t="shared" si="24"/>
        <v>2.0712328767123287E-3</v>
      </c>
      <c r="Q318" s="134">
        <f t="shared" si="25"/>
        <v>1.0020712328767123</v>
      </c>
      <c r="R318" s="133"/>
    </row>
    <row r="319" spans="1:18" x14ac:dyDescent="0.2">
      <c r="A319" s="137">
        <v>41687</v>
      </c>
      <c r="B319" s="136">
        <v>0.98433000000000004</v>
      </c>
      <c r="C319" s="134">
        <f t="shared" si="21"/>
        <v>1.9561643835616441E-3</v>
      </c>
      <c r="D319" s="134">
        <f t="shared" si="22"/>
        <v>0.98628616438356165</v>
      </c>
      <c r="E319" s="133"/>
      <c r="N319" s="137">
        <f t="shared" si="23"/>
        <v>41687</v>
      </c>
      <c r="O319" s="136">
        <v>1</v>
      </c>
      <c r="P319" s="134">
        <f t="shared" si="24"/>
        <v>1.9561643835616441E-3</v>
      </c>
      <c r="Q319" s="134">
        <f t="shared" si="25"/>
        <v>1.0019561643835617</v>
      </c>
      <c r="R319" s="133"/>
    </row>
    <row r="320" spans="1:18" x14ac:dyDescent="0.2">
      <c r="A320" s="137">
        <v>41684</v>
      </c>
      <c r="B320" s="136">
        <v>0.97920000000000007</v>
      </c>
      <c r="C320" s="134">
        <f t="shared" si="21"/>
        <v>1.6109589041095893E-3</v>
      </c>
      <c r="D320" s="134">
        <f t="shared" si="22"/>
        <v>0.98081095890410963</v>
      </c>
      <c r="E320" s="133"/>
      <c r="N320" s="137">
        <f t="shared" si="23"/>
        <v>41684</v>
      </c>
      <c r="O320" s="136">
        <v>1</v>
      </c>
      <c r="P320" s="134">
        <f t="shared" si="24"/>
        <v>1.6109589041095893E-3</v>
      </c>
      <c r="Q320" s="134">
        <f t="shared" si="25"/>
        <v>1.0016109589041096</v>
      </c>
      <c r="R320" s="133"/>
    </row>
    <row r="321" spans="1:18" x14ac:dyDescent="0.2">
      <c r="A321" s="137">
        <v>41683</v>
      </c>
      <c r="B321" s="136">
        <v>0.97687999999999997</v>
      </c>
      <c r="C321" s="134">
        <f t="shared" si="21"/>
        <v>1.4958904109589042E-3</v>
      </c>
      <c r="D321" s="134">
        <f t="shared" si="22"/>
        <v>0.97837589041095885</v>
      </c>
      <c r="E321" s="133"/>
      <c r="N321" s="137">
        <f t="shared" si="23"/>
        <v>41683</v>
      </c>
      <c r="O321" s="136">
        <v>1</v>
      </c>
      <c r="P321" s="134">
        <f t="shared" si="24"/>
        <v>1.4958904109589042E-3</v>
      </c>
      <c r="Q321" s="134">
        <f t="shared" si="25"/>
        <v>1.001495890410959</v>
      </c>
      <c r="R321" s="133"/>
    </row>
    <row r="322" spans="1:18" x14ac:dyDescent="0.2">
      <c r="A322" s="137">
        <v>41682</v>
      </c>
      <c r="B322" s="136">
        <v>0.97382999999999997</v>
      </c>
      <c r="C322" s="134">
        <f t="shared" si="21"/>
        <v>1.3808219178082191E-3</v>
      </c>
      <c r="D322" s="134">
        <f t="shared" si="22"/>
        <v>0.97521082191780817</v>
      </c>
      <c r="E322" s="133"/>
      <c r="N322" s="137">
        <f t="shared" si="23"/>
        <v>41682</v>
      </c>
      <c r="O322" s="136">
        <v>1</v>
      </c>
      <c r="P322" s="134">
        <f t="shared" si="24"/>
        <v>1.3808219178082191E-3</v>
      </c>
      <c r="Q322" s="134">
        <f t="shared" si="25"/>
        <v>1.0013808219178082</v>
      </c>
      <c r="R322" s="133"/>
    </row>
    <row r="323" spans="1:18" x14ac:dyDescent="0.2">
      <c r="A323" s="137">
        <v>41681</v>
      </c>
      <c r="B323" s="136">
        <v>0.97742999999999991</v>
      </c>
      <c r="C323" s="134">
        <f t="shared" si="21"/>
        <v>1.2657534246575343E-3</v>
      </c>
      <c r="D323" s="134">
        <f t="shared" si="22"/>
        <v>0.97869575342465742</v>
      </c>
      <c r="E323" s="133"/>
      <c r="N323" s="137">
        <f t="shared" si="23"/>
        <v>41681</v>
      </c>
      <c r="O323" s="136">
        <v>1</v>
      </c>
      <c r="P323" s="134">
        <f t="shared" si="24"/>
        <v>1.2657534246575343E-3</v>
      </c>
      <c r="Q323" s="134">
        <f t="shared" si="25"/>
        <v>1.0012657534246576</v>
      </c>
      <c r="R323" s="133"/>
    </row>
    <row r="324" spans="1:18" x14ac:dyDescent="0.2">
      <c r="A324" s="137">
        <v>41680</v>
      </c>
      <c r="B324" s="136">
        <v>0.9778</v>
      </c>
      <c r="C324" s="134">
        <f t="shared" si="21"/>
        <v>1.1506849315068494E-3</v>
      </c>
      <c r="D324" s="134">
        <f t="shared" si="22"/>
        <v>0.97895068493150683</v>
      </c>
      <c r="E324" s="133"/>
      <c r="N324" s="137">
        <f t="shared" si="23"/>
        <v>41680</v>
      </c>
      <c r="O324" s="136">
        <v>1</v>
      </c>
      <c r="P324" s="134">
        <f t="shared" si="24"/>
        <v>1.1506849315068494E-3</v>
      </c>
      <c r="Q324" s="134">
        <f t="shared" si="25"/>
        <v>1.0011506849315068</v>
      </c>
      <c r="R324" s="133"/>
    </row>
    <row r="325" spans="1:18" x14ac:dyDescent="0.2">
      <c r="A325" s="137">
        <v>41677</v>
      </c>
      <c r="B325" s="136">
        <v>0.97663</v>
      </c>
      <c r="C325" s="134">
        <f t="shared" si="21"/>
        <v>8.0547945205479464E-4</v>
      </c>
      <c r="D325" s="134">
        <f t="shared" si="22"/>
        <v>0.97743547945205478</v>
      </c>
      <c r="E325" s="133"/>
      <c r="N325" s="137">
        <f t="shared" si="23"/>
        <v>41677</v>
      </c>
      <c r="O325" s="136">
        <v>1</v>
      </c>
      <c r="P325" s="134">
        <f t="shared" si="24"/>
        <v>8.0547945205479464E-4</v>
      </c>
      <c r="Q325" s="134">
        <f t="shared" si="25"/>
        <v>1.0008054794520549</v>
      </c>
      <c r="R325" s="133"/>
    </row>
    <row r="326" spans="1:18" x14ac:dyDescent="0.2">
      <c r="A326" s="137">
        <v>41676</v>
      </c>
      <c r="B326" s="136">
        <v>0.96672999999999998</v>
      </c>
      <c r="C326" s="134">
        <f t="shared" si="21"/>
        <v>6.9041095890410957E-4</v>
      </c>
      <c r="D326" s="134">
        <f t="shared" ref="D326:D353" si="26">C326+B326</f>
        <v>0.96742041095890408</v>
      </c>
      <c r="E326" s="133"/>
      <c r="N326" s="137">
        <f t="shared" ref="N326:N353" si="27">+A326</f>
        <v>41676</v>
      </c>
      <c r="O326" s="136">
        <v>1</v>
      </c>
      <c r="P326" s="134">
        <f t="shared" ref="P326:P353" si="28">+C326</f>
        <v>6.9041095890410957E-4</v>
      </c>
      <c r="Q326" s="134">
        <f t="shared" ref="Q326:Q353" si="29">P326+O326</f>
        <v>1.0006904109589041</v>
      </c>
      <c r="R326" s="133"/>
    </row>
    <row r="327" spans="1:18" x14ac:dyDescent="0.2">
      <c r="A327" s="137">
        <v>41675</v>
      </c>
      <c r="B327" s="136">
        <v>0.95897999999999994</v>
      </c>
      <c r="C327" s="134">
        <f t="shared" si="21"/>
        <v>5.7534246575342471E-4</v>
      </c>
      <c r="D327" s="134">
        <f t="shared" si="26"/>
        <v>0.95955534246575336</v>
      </c>
      <c r="E327" s="133"/>
      <c r="N327" s="137">
        <f t="shared" si="27"/>
        <v>41675</v>
      </c>
      <c r="O327" s="136">
        <v>1</v>
      </c>
      <c r="P327" s="134">
        <f t="shared" si="28"/>
        <v>5.7534246575342471E-4</v>
      </c>
      <c r="Q327" s="134">
        <f t="shared" si="29"/>
        <v>1.0005753424657535</v>
      </c>
      <c r="R327" s="133"/>
    </row>
    <row r="328" spans="1:18" x14ac:dyDescent="0.2">
      <c r="A328" s="137">
        <v>41674</v>
      </c>
      <c r="B328" s="136">
        <v>0.95594999999999997</v>
      </c>
      <c r="C328" s="134">
        <f t="shared" si="21"/>
        <v>4.6027397260273975E-4</v>
      </c>
      <c r="D328" s="134">
        <f t="shared" si="26"/>
        <v>0.9564102739726027</v>
      </c>
      <c r="E328" s="133"/>
      <c r="N328" s="137">
        <f t="shared" si="27"/>
        <v>41674</v>
      </c>
      <c r="O328" s="136">
        <v>1</v>
      </c>
      <c r="P328" s="134">
        <f t="shared" si="28"/>
        <v>4.6027397260273975E-4</v>
      </c>
      <c r="Q328" s="134">
        <f t="shared" si="29"/>
        <v>1.0004602739726027</v>
      </c>
      <c r="R328" s="133"/>
    </row>
    <row r="329" spans="1:18" x14ac:dyDescent="0.2">
      <c r="A329" s="137">
        <v>41673</v>
      </c>
      <c r="B329" s="136">
        <v>0.95818000000000003</v>
      </c>
      <c r="C329" s="134">
        <f t="shared" si="21"/>
        <v>3.4520547945205479E-4</v>
      </c>
      <c r="D329" s="134">
        <f t="shared" si="26"/>
        <v>0.95852520547945208</v>
      </c>
      <c r="E329" s="133"/>
      <c r="N329" s="137">
        <f t="shared" si="27"/>
        <v>41673</v>
      </c>
      <c r="O329" s="136">
        <v>1</v>
      </c>
      <c r="P329" s="134">
        <f t="shared" si="28"/>
        <v>3.4520547945205479E-4</v>
      </c>
      <c r="Q329" s="134">
        <f t="shared" si="29"/>
        <v>1.0003452054794522</v>
      </c>
      <c r="R329" s="133"/>
    </row>
    <row r="330" spans="1:18" x14ac:dyDescent="0.2">
      <c r="A330" s="137">
        <v>41670</v>
      </c>
      <c r="B330" s="136">
        <v>0.96019999999999994</v>
      </c>
      <c r="C330" s="134">
        <f t="shared" si="21"/>
        <v>0</v>
      </c>
      <c r="D330" s="134">
        <f t="shared" si="26"/>
        <v>0.96019999999999994</v>
      </c>
      <c r="E330" s="133"/>
      <c r="N330" s="137">
        <f t="shared" si="27"/>
        <v>41670</v>
      </c>
      <c r="O330" s="136">
        <v>1</v>
      </c>
      <c r="P330" s="134">
        <f t="shared" si="28"/>
        <v>0</v>
      </c>
      <c r="Q330" s="134">
        <f t="shared" si="29"/>
        <v>1</v>
      </c>
      <c r="R330" s="133"/>
    </row>
    <row r="331" spans="1:18" x14ac:dyDescent="0.2">
      <c r="A331" s="137">
        <v>41669</v>
      </c>
      <c r="B331" s="139">
        <v>0.95613000000000004</v>
      </c>
      <c r="C331" s="138">
        <f t="shared" ref="C331:C353" si="30">cuponbono*(A331-cupon1)/365</f>
        <v>4.1884931506849313E-2</v>
      </c>
      <c r="D331" s="138">
        <f t="shared" si="26"/>
        <v>0.99801493150684939</v>
      </c>
      <c r="E331" s="133"/>
      <c r="N331" s="137">
        <f t="shared" si="27"/>
        <v>41669</v>
      </c>
      <c r="O331" s="136">
        <v>1</v>
      </c>
      <c r="P331" s="134">
        <f t="shared" si="28"/>
        <v>4.1884931506849313E-2</v>
      </c>
      <c r="Q331" s="134">
        <f t="shared" si="29"/>
        <v>1.0418849315068492</v>
      </c>
      <c r="R331" s="133"/>
    </row>
    <row r="332" spans="1:18" x14ac:dyDescent="0.2">
      <c r="A332" s="137">
        <v>41668</v>
      </c>
      <c r="B332" s="136">
        <v>0.95617999999999992</v>
      </c>
      <c r="C332" s="134">
        <f t="shared" si="30"/>
        <v>4.176986301369863E-2</v>
      </c>
      <c r="D332" s="134">
        <f t="shared" si="26"/>
        <v>0.99794986301369859</v>
      </c>
      <c r="E332" s="133"/>
      <c r="N332" s="137">
        <f t="shared" si="27"/>
        <v>41668</v>
      </c>
      <c r="O332" s="136">
        <v>1</v>
      </c>
      <c r="P332" s="134">
        <f t="shared" si="28"/>
        <v>4.176986301369863E-2</v>
      </c>
      <c r="Q332" s="134">
        <f t="shared" si="29"/>
        <v>1.0417698630136987</v>
      </c>
      <c r="R332" s="133"/>
    </row>
    <row r="333" spans="1:18" x14ac:dyDescent="0.2">
      <c r="A333" s="137">
        <v>41667</v>
      </c>
      <c r="B333" s="136">
        <v>0.95582999999999996</v>
      </c>
      <c r="C333" s="134">
        <f t="shared" si="30"/>
        <v>4.1654794520547947E-2</v>
      </c>
      <c r="D333" s="134">
        <f t="shared" si="26"/>
        <v>0.99748479452054795</v>
      </c>
      <c r="E333" s="133"/>
      <c r="N333" s="137">
        <f t="shared" si="27"/>
        <v>41667</v>
      </c>
      <c r="O333" s="136">
        <v>1</v>
      </c>
      <c r="P333" s="134">
        <f t="shared" si="28"/>
        <v>4.1654794520547947E-2</v>
      </c>
      <c r="Q333" s="134">
        <f t="shared" si="29"/>
        <v>1.0416547945205479</v>
      </c>
      <c r="R333" s="133"/>
    </row>
    <row r="334" spans="1:18" x14ac:dyDescent="0.2">
      <c r="A334" s="137">
        <v>41666</v>
      </c>
      <c r="B334" s="136">
        <v>0.95047999999999999</v>
      </c>
      <c r="C334" s="134">
        <f t="shared" si="30"/>
        <v>4.1539726027397264E-2</v>
      </c>
      <c r="D334" s="134">
        <f t="shared" si="26"/>
        <v>0.9920197260273973</v>
      </c>
      <c r="E334" s="133"/>
      <c r="N334" s="137">
        <f t="shared" si="27"/>
        <v>41666</v>
      </c>
      <c r="O334" s="136">
        <v>1</v>
      </c>
      <c r="P334" s="134">
        <f t="shared" si="28"/>
        <v>4.1539726027397264E-2</v>
      </c>
      <c r="Q334" s="134">
        <f t="shared" si="29"/>
        <v>1.0415397260273973</v>
      </c>
      <c r="R334" s="133"/>
    </row>
    <row r="335" spans="1:18" x14ac:dyDescent="0.2">
      <c r="A335" s="137">
        <v>41663</v>
      </c>
      <c r="B335" s="136">
        <v>0.94787999999999994</v>
      </c>
      <c r="C335" s="134">
        <f t="shared" si="30"/>
        <v>4.1194520547945208E-2</v>
      </c>
      <c r="D335" s="134">
        <f t="shared" si="26"/>
        <v>0.9890745205479452</v>
      </c>
      <c r="E335" s="133"/>
      <c r="N335" s="137">
        <f t="shared" si="27"/>
        <v>41663</v>
      </c>
      <c r="O335" s="136">
        <v>1</v>
      </c>
      <c r="P335" s="134">
        <f t="shared" si="28"/>
        <v>4.1194520547945208E-2</v>
      </c>
      <c r="Q335" s="134">
        <f t="shared" si="29"/>
        <v>1.0411945205479451</v>
      </c>
      <c r="R335" s="133"/>
    </row>
    <row r="336" spans="1:18" x14ac:dyDescent="0.2">
      <c r="A336" s="137">
        <v>41662</v>
      </c>
      <c r="B336" s="136">
        <v>0.95255000000000001</v>
      </c>
      <c r="C336" s="134">
        <f t="shared" si="30"/>
        <v>4.1079452054794525E-2</v>
      </c>
      <c r="D336" s="134">
        <f t="shared" si="26"/>
        <v>0.99362945205479458</v>
      </c>
      <c r="E336" s="133"/>
      <c r="N336" s="137">
        <f t="shared" si="27"/>
        <v>41662</v>
      </c>
      <c r="O336" s="136">
        <v>1</v>
      </c>
      <c r="P336" s="134">
        <f t="shared" si="28"/>
        <v>4.1079452054794525E-2</v>
      </c>
      <c r="Q336" s="134">
        <f t="shared" si="29"/>
        <v>1.0410794520547946</v>
      </c>
      <c r="R336" s="133"/>
    </row>
    <row r="337" spans="1:18" x14ac:dyDescent="0.2">
      <c r="A337" s="137">
        <v>41661</v>
      </c>
      <c r="B337" s="136">
        <v>0.95574999999999999</v>
      </c>
      <c r="C337" s="134">
        <f t="shared" si="30"/>
        <v>4.0964383561643843E-2</v>
      </c>
      <c r="D337" s="134">
        <f t="shared" si="26"/>
        <v>0.99671438356164388</v>
      </c>
      <c r="E337" s="133"/>
      <c r="N337" s="137">
        <f t="shared" si="27"/>
        <v>41661</v>
      </c>
      <c r="O337" s="136">
        <v>1</v>
      </c>
      <c r="P337" s="134">
        <f t="shared" si="28"/>
        <v>4.0964383561643843E-2</v>
      </c>
      <c r="Q337" s="134">
        <f t="shared" si="29"/>
        <v>1.0409643835616438</v>
      </c>
      <c r="R337" s="133"/>
    </row>
    <row r="338" spans="1:18" x14ac:dyDescent="0.2">
      <c r="A338" s="137">
        <v>41660</v>
      </c>
      <c r="B338" s="136">
        <v>0.95733000000000001</v>
      </c>
      <c r="C338" s="134">
        <f t="shared" si="30"/>
        <v>4.0849315068493153E-2</v>
      </c>
      <c r="D338" s="134">
        <f t="shared" si="26"/>
        <v>0.99817931506849322</v>
      </c>
      <c r="E338" s="133"/>
      <c r="N338" s="137">
        <f t="shared" si="27"/>
        <v>41660</v>
      </c>
      <c r="O338" s="136">
        <v>1</v>
      </c>
      <c r="P338" s="134">
        <f t="shared" si="28"/>
        <v>4.0849315068493153E-2</v>
      </c>
      <c r="Q338" s="134">
        <f t="shared" si="29"/>
        <v>1.0408493150684932</v>
      </c>
      <c r="R338" s="133"/>
    </row>
    <row r="339" spans="1:18" x14ac:dyDescent="0.2">
      <c r="A339" s="137">
        <v>41659</v>
      </c>
      <c r="B339" s="136">
        <v>0.96238000000000001</v>
      </c>
      <c r="C339" s="134">
        <f t="shared" si="30"/>
        <v>4.073424657534247E-2</v>
      </c>
      <c r="D339" s="134">
        <f t="shared" si="26"/>
        <v>1.0031142465753424</v>
      </c>
      <c r="E339" s="133"/>
      <c r="N339" s="137">
        <f t="shared" si="27"/>
        <v>41659</v>
      </c>
      <c r="O339" s="136">
        <v>1</v>
      </c>
      <c r="P339" s="134">
        <f t="shared" si="28"/>
        <v>4.073424657534247E-2</v>
      </c>
      <c r="Q339" s="134">
        <f t="shared" si="29"/>
        <v>1.0407342465753424</v>
      </c>
      <c r="R339" s="133"/>
    </row>
    <row r="340" spans="1:18" x14ac:dyDescent="0.2">
      <c r="A340" s="137">
        <v>41656</v>
      </c>
      <c r="B340" s="136">
        <v>0.95834999999999992</v>
      </c>
      <c r="C340" s="134">
        <f t="shared" si="30"/>
        <v>4.0389041095890414E-2</v>
      </c>
      <c r="D340" s="134">
        <f t="shared" si="26"/>
        <v>0.99873904109589029</v>
      </c>
      <c r="E340" s="133"/>
      <c r="N340" s="137">
        <f t="shared" si="27"/>
        <v>41656</v>
      </c>
      <c r="O340" s="136">
        <v>1</v>
      </c>
      <c r="P340" s="134">
        <f t="shared" si="28"/>
        <v>4.0389041095890414E-2</v>
      </c>
      <c r="Q340" s="134">
        <f t="shared" si="29"/>
        <v>1.0403890410958905</v>
      </c>
      <c r="R340" s="133"/>
    </row>
    <row r="341" spans="1:18" x14ac:dyDescent="0.2">
      <c r="A341" s="137">
        <v>41655</v>
      </c>
      <c r="B341" s="136">
        <v>0.95343</v>
      </c>
      <c r="C341" s="134">
        <f t="shared" si="30"/>
        <v>4.0273972602739731E-2</v>
      </c>
      <c r="D341" s="134">
        <f t="shared" si="26"/>
        <v>0.99370397260273968</v>
      </c>
      <c r="E341" s="133"/>
      <c r="N341" s="137">
        <f t="shared" si="27"/>
        <v>41655</v>
      </c>
      <c r="O341" s="136">
        <v>1</v>
      </c>
      <c r="P341" s="134">
        <f t="shared" si="28"/>
        <v>4.0273972602739731E-2</v>
      </c>
      <c r="Q341" s="134">
        <f t="shared" si="29"/>
        <v>1.0402739726027397</v>
      </c>
      <c r="R341" s="133"/>
    </row>
    <row r="342" spans="1:18" x14ac:dyDescent="0.2">
      <c r="A342" s="137">
        <v>41654</v>
      </c>
      <c r="B342" s="136">
        <v>0.94873000000000007</v>
      </c>
      <c r="C342" s="134">
        <f t="shared" si="30"/>
        <v>4.0158904109589041E-2</v>
      </c>
      <c r="D342" s="134">
        <f t="shared" si="26"/>
        <v>0.98888890410958907</v>
      </c>
      <c r="E342" s="133"/>
      <c r="N342" s="137">
        <f t="shared" si="27"/>
        <v>41654</v>
      </c>
      <c r="O342" s="136">
        <v>1</v>
      </c>
      <c r="P342" s="134">
        <f t="shared" si="28"/>
        <v>4.0158904109589041E-2</v>
      </c>
      <c r="Q342" s="134">
        <f t="shared" si="29"/>
        <v>1.0401589041095891</v>
      </c>
      <c r="R342" s="133"/>
    </row>
    <row r="343" spans="1:18" x14ac:dyDescent="0.2">
      <c r="A343" s="137">
        <v>41653</v>
      </c>
      <c r="B343" s="136">
        <v>0.94245000000000001</v>
      </c>
      <c r="C343" s="134">
        <f t="shared" si="30"/>
        <v>4.0043835616438359E-2</v>
      </c>
      <c r="D343" s="134">
        <f t="shared" si="26"/>
        <v>0.98249383561643833</v>
      </c>
      <c r="E343" s="133"/>
      <c r="N343" s="137">
        <f t="shared" si="27"/>
        <v>41653</v>
      </c>
      <c r="O343" s="136">
        <v>1</v>
      </c>
      <c r="P343" s="134">
        <f t="shared" si="28"/>
        <v>4.0043835616438359E-2</v>
      </c>
      <c r="Q343" s="134">
        <f t="shared" si="29"/>
        <v>1.0400438356164383</v>
      </c>
      <c r="R343" s="133"/>
    </row>
    <row r="344" spans="1:18" x14ac:dyDescent="0.2">
      <c r="A344" s="137">
        <v>41652</v>
      </c>
      <c r="B344" s="136">
        <v>0.94093000000000004</v>
      </c>
      <c r="C344" s="134">
        <f t="shared" si="30"/>
        <v>3.9928767123287676E-2</v>
      </c>
      <c r="D344" s="134">
        <f t="shared" si="26"/>
        <v>0.98085876712328768</v>
      </c>
      <c r="E344" s="133"/>
      <c r="N344" s="137">
        <f t="shared" si="27"/>
        <v>41652</v>
      </c>
      <c r="O344" s="136">
        <v>1</v>
      </c>
      <c r="P344" s="134">
        <f t="shared" si="28"/>
        <v>3.9928767123287676E-2</v>
      </c>
      <c r="Q344" s="134">
        <f t="shared" si="29"/>
        <v>1.0399287671232877</v>
      </c>
      <c r="R344" s="133"/>
    </row>
    <row r="345" spans="1:18" x14ac:dyDescent="0.2">
      <c r="A345" s="137">
        <v>41649</v>
      </c>
      <c r="B345" s="136">
        <v>0.94099999999999995</v>
      </c>
      <c r="C345" s="134">
        <f t="shared" si="30"/>
        <v>3.958356164383562E-2</v>
      </c>
      <c r="D345" s="134">
        <f t="shared" si="26"/>
        <v>0.98058356164383553</v>
      </c>
      <c r="E345" s="133"/>
      <c r="N345" s="137">
        <f t="shared" si="27"/>
        <v>41649</v>
      </c>
      <c r="O345" s="136">
        <v>1</v>
      </c>
      <c r="P345" s="134">
        <f t="shared" si="28"/>
        <v>3.958356164383562E-2</v>
      </c>
      <c r="Q345" s="134">
        <f t="shared" si="29"/>
        <v>1.0395835616438356</v>
      </c>
      <c r="R345" s="133"/>
    </row>
    <row r="346" spans="1:18" x14ac:dyDescent="0.2">
      <c r="A346" s="137">
        <v>41648</v>
      </c>
      <c r="B346" s="136">
        <v>0.94183000000000006</v>
      </c>
      <c r="C346" s="134">
        <f t="shared" si="30"/>
        <v>3.946849315068493E-2</v>
      </c>
      <c r="D346" s="134">
        <f t="shared" si="26"/>
        <v>0.98129849315068496</v>
      </c>
      <c r="E346" s="133"/>
      <c r="N346" s="137">
        <f t="shared" si="27"/>
        <v>41648</v>
      </c>
      <c r="O346" s="136">
        <v>1</v>
      </c>
      <c r="P346" s="134">
        <f t="shared" si="28"/>
        <v>3.946849315068493E-2</v>
      </c>
      <c r="Q346" s="134">
        <f t="shared" si="29"/>
        <v>1.039468493150685</v>
      </c>
      <c r="R346" s="133"/>
    </row>
    <row r="347" spans="1:18" x14ac:dyDescent="0.2">
      <c r="A347" s="137">
        <v>41647</v>
      </c>
      <c r="B347" s="136">
        <v>0.93877999999999995</v>
      </c>
      <c r="C347" s="134">
        <f t="shared" si="30"/>
        <v>3.9353424657534247E-2</v>
      </c>
      <c r="D347" s="134">
        <f t="shared" si="26"/>
        <v>0.97813342465753417</v>
      </c>
      <c r="E347" s="133"/>
      <c r="N347" s="137">
        <f t="shared" si="27"/>
        <v>41647</v>
      </c>
      <c r="O347" s="136">
        <v>1</v>
      </c>
      <c r="P347" s="134">
        <f t="shared" si="28"/>
        <v>3.9353424657534247E-2</v>
      </c>
      <c r="Q347" s="134">
        <f t="shared" si="29"/>
        <v>1.0393534246575342</v>
      </c>
      <c r="R347" s="133"/>
    </row>
    <row r="348" spans="1:18" x14ac:dyDescent="0.2">
      <c r="A348" s="137">
        <v>41646</v>
      </c>
      <c r="B348" s="136">
        <v>0.93683000000000005</v>
      </c>
      <c r="C348" s="134">
        <f t="shared" si="30"/>
        <v>3.9238356164383564E-2</v>
      </c>
      <c r="D348" s="134">
        <f t="shared" si="26"/>
        <v>0.97606835616438359</v>
      </c>
      <c r="E348" s="133"/>
      <c r="N348" s="137">
        <f t="shared" si="27"/>
        <v>41646</v>
      </c>
      <c r="O348" s="136">
        <v>1</v>
      </c>
      <c r="P348" s="134">
        <f t="shared" si="28"/>
        <v>3.9238356164383564E-2</v>
      </c>
      <c r="Q348" s="134">
        <f t="shared" si="29"/>
        <v>1.0392383561643836</v>
      </c>
      <c r="R348" s="133"/>
    </row>
    <row r="349" spans="1:18" x14ac:dyDescent="0.2">
      <c r="A349" s="137">
        <v>41645</v>
      </c>
      <c r="B349" s="136">
        <v>0.92693000000000003</v>
      </c>
      <c r="C349" s="134">
        <f t="shared" si="30"/>
        <v>3.9123287671232881E-2</v>
      </c>
      <c r="D349" s="134">
        <f t="shared" si="26"/>
        <v>0.96605328767123289</v>
      </c>
      <c r="E349" s="133"/>
      <c r="N349" s="137">
        <f t="shared" si="27"/>
        <v>41645</v>
      </c>
      <c r="O349" s="136">
        <v>1</v>
      </c>
      <c r="P349" s="134">
        <f t="shared" si="28"/>
        <v>3.9123287671232881E-2</v>
      </c>
      <c r="Q349" s="134">
        <f t="shared" si="29"/>
        <v>1.0391232876712329</v>
      </c>
      <c r="R349" s="133"/>
    </row>
    <row r="350" spans="1:18" x14ac:dyDescent="0.2">
      <c r="A350" s="137">
        <v>41642</v>
      </c>
      <c r="B350" s="136">
        <v>0.93028000000000011</v>
      </c>
      <c r="C350" s="134">
        <f t="shared" si="30"/>
        <v>3.8778082191780826E-2</v>
      </c>
      <c r="D350" s="134">
        <f t="shared" si="26"/>
        <v>0.96905808219178091</v>
      </c>
      <c r="E350" s="133"/>
      <c r="N350" s="137">
        <f t="shared" si="27"/>
        <v>41642</v>
      </c>
      <c r="O350" s="136">
        <v>1</v>
      </c>
      <c r="P350" s="134">
        <f t="shared" si="28"/>
        <v>3.8778082191780826E-2</v>
      </c>
      <c r="Q350" s="134">
        <f t="shared" si="29"/>
        <v>1.0387780821917809</v>
      </c>
      <c r="R350" s="133"/>
    </row>
    <row r="351" spans="1:18" x14ac:dyDescent="0.2">
      <c r="A351" s="137">
        <v>41641</v>
      </c>
      <c r="B351" s="136">
        <v>0.92099999999999993</v>
      </c>
      <c r="C351" s="134">
        <f t="shared" si="30"/>
        <v>3.8663013698630136E-2</v>
      </c>
      <c r="D351" s="134">
        <f t="shared" si="26"/>
        <v>0.95966301369863005</v>
      </c>
      <c r="E351" s="133"/>
      <c r="N351" s="137">
        <f t="shared" si="27"/>
        <v>41641</v>
      </c>
      <c r="O351" s="136">
        <v>1</v>
      </c>
      <c r="P351" s="134">
        <f t="shared" si="28"/>
        <v>3.8663013698630136E-2</v>
      </c>
      <c r="Q351" s="134">
        <f t="shared" si="29"/>
        <v>1.0386630136986301</v>
      </c>
      <c r="R351" s="133"/>
    </row>
    <row r="352" spans="1:18" x14ac:dyDescent="0.2">
      <c r="A352" s="137">
        <v>41640</v>
      </c>
      <c r="B352" s="136">
        <v>0.90944999999999998</v>
      </c>
      <c r="C352" s="134">
        <f t="shared" si="30"/>
        <v>3.8547945205479453E-2</v>
      </c>
      <c r="D352" s="134">
        <f t="shared" si="26"/>
        <v>0.94799794520547942</v>
      </c>
      <c r="E352" s="133"/>
      <c r="N352" s="137">
        <f t="shared" si="27"/>
        <v>41640</v>
      </c>
      <c r="O352" s="136">
        <v>1</v>
      </c>
      <c r="P352" s="134">
        <f t="shared" si="28"/>
        <v>3.8547945205479453E-2</v>
      </c>
      <c r="Q352" s="134">
        <f t="shared" si="29"/>
        <v>1.0385479452054796</v>
      </c>
      <c r="R352" s="133"/>
    </row>
    <row r="353" spans="1:18" x14ac:dyDescent="0.2">
      <c r="A353" s="137">
        <v>41639</v>
      </c>
      <c r="B353" s="136">
        <v>0.90944999999999998</v>
      </c>
      <c r="C353" s="134">
        <f t="shared" si="30"/>
        <v>3.843287671232877E-2</v>
      </c>
      <c r="D353" s="134">
        <f t="shared" si="26"/>
        <v>0.94788287671232874</v>
      </c>
      <c r="E353" s="133"/>
      <c r="N353" s="137">
        <f t="shared" si="27"/>
        <v>41639</v>
      </c>
      <c r="O353" s="136">
        <v>1</v>
      </c>
      <c r="P353" s="134">
        <f t="shared" si="28"/>
        <v>3.843287671232877E-2</v>
      </c>
      <c r="Q353" s="134">
        <f t="shared" si="29"/>
        <v>1.0384328767123288</v>
      </c>
      <c r="R353" s="133"/>
    </row>
    <row r="354" spans="1:18" x14ac:dyDescent="0.2">
      <c r="A354" s="131"/>
      <c r="E354" s="133"/>
      <c r="N354" s="131"/>
    </row>
    <row r="355" spans="1:18" x14ac:dyDescent="0.2">
      <c r="B355" s="136"/>
      <c r="C355" s="135"/>
      <c r="D355" s="134"/>
      <c r="E355" s="133"/>
      <c r="O355" s="136"/>
      <c r="P355" s="135"/>
      <c r="Q355" s="134"/>
      <c r="R355" s="133"/>
    </row>
    <row r="356" spans="1:18" x14ac:dyDescent="0.2">
      <c r="B356" s="136"/>
      <c r="C356" s="135"/>
      <c r="D356" s="134"/>
      <c r="E356" s="133"/>
      <c r="O356" s="136"/>
      <c r="P356" s="135"/>
      <c r="Q356" s="134"/>
      <c r="R356" s="133"/>
    </row>
    <row r="357" spans="1:18" x14ac:dyDescent="0.2">
      <c r="B357" s="136"/>
      <c r="C357" s="135"/>
      <c r="D357" s="134"/>
      <c r="E357" s="133"/>
      <c r="O357" s="136"/>
      <c r="P357" s="135"/>
      <c r="Q357" s="134"/>
      <c r="R357" s="133"/>
    </row>
    <row r="358" spans="1:18" x14ac:dyDescent="0.2">
      <c r="B358" s="136"/>
      <c r="C358" s="135"/>
      <c r="D358" s="134"/>
      <c r="E358" s="133"/>
      <c r="O358" s="136"/>
      <c r="P358" s="135"/>
      <c r="Q358" s="134"/>
      <c r="R358" s="133"/>
    </row>
    <row r="359" spans="1:18" x14ac:dyDescent="0.2">
      <c r="B359" s="136"/>
      <c r="C359" s="135"/>
      <c r="D359" s="134"/>
      <c r="E359" s="133"/>
      <c r="O359" s="136"/>
      <c r="P359" s="135"/>
      <c r="Q359" s="134"/>
      <c r="R359" s="133"/>
    </row>
    <row r="360" spans="1:18" x14ac:dyDescent="0.2">
      <c r="B360" s="136"/>
      <c r="C360" s="135"/>
      <c r="D360" s="134"/>
      <c r="E360" s="133"/>
      <c r="O360" s="136"/>
      <c r="P360" s="135"/>
      <c r="Q360" s="134"/>
      <c r="R360" s="133"/>
    </row>
    <row r="361" spans="1:18" x14ac:dyDescent="0.2">
      <c r="B361" s="136"/>
      <c r="C361" s="135"/>
      <c r="D361" s="134"/>
      <c r="E361" s="133"/>
      <c r="O361" s="136"/>
      <c r="P361" s="135"/>
      <c r="Q361" s="134"/>
      <c r="R361" s="133"/>
    </row>
    <row r="362" spans="1:18" x14ac:dyDescent="0.2">
      <c r="B362" s="136"/>
      <c r="C362" s="135"/>
      <c r="D362" s="134"/>
      <c r="E362" s="133"/>
      <c r="O362" s="136"/>
      <c r="P362" s="135"/>
      <c r="Q362" s="134"/>
      <c r="R362" s="133"/>
    </row>
    <row r="363" spans="1:18" x14ac:dyDescent="0.2">
      <c r="B363" s="136"/>
      <c r="C363" s="135"/>
      <c r="D363" s="134"/>
      <c r="E363" s="133"/>
      <c r="O363" s="136"/>
      <c r="P363" s="135"/>
      <c r="Q363" s="134"/>
      <c r="R363" s="133"/>
    </row>
    <row r="364" spans="1:18" x14ac:dyDescent="0.2">
      <c r="B364" s="136"/>
      <c r="C364" s="135"/>
      <c r="D364" s="134"/>
      <c r="E364" s="133"/>
      <c r="O364" s="136"/>
      <c r="P364" s="135"/>
      <c r="Q364" s="134"/>
      <c r="R364" s="133"/>
    </row>
    <row r="365" spans="1:18" x14ac:dyDescent="0.2">
      <c r="B365" s="136"/>
      <c r="C365" s="135"/>
      <c r="D365" s="134"/>
      <c r="E365" s="133"/>
      <c r="O365" s="136"/>
      <c r="P365" s="135"/>
      <c r="Q365" s="134"/>
      <c r="R365" s="133"/>
    </row>
    <row r="366" spans="1:18" x14ac:dyDescent="0.2">
      <c r="B366" s="136"/>
      <c r="C366" s="135"/>
      <c r="D366" s="134"/>
      <c r="E366" s="133"/>
      <c r="O366" s="136"/>
      <c r="P366" s="135"/>
      <c r="Q366" s="134"/>
      <c r="R366" s="133"/>
    </row>
    <row r="367" spans="1:18" x14ac:dyDescent="0.2">
      <c r="B367" s="136"/>
      <c r="C367" s="135"/>
      <c r="D367" s="134"/>
      <c r="E367" s="133"/>
      <c r="O367" s="136"/>
      <c r="P367" s="135"/>
      <c r="Q367" s="134"/>
      <c r="R367" s="133"/>
    </row>
    <row r="368" spans="1:18" x14ac:dyDescent="0.2">
      <c r="B368" s="136"/>
      <c r="C368" s="135"/>
      <c r="D368" s="134"/>
      <c r="E368" s="133"/>
      <c r="O368" s="136"/>
      <c r="P368" s="135"/>
      <c r="Q368" s="134"/>
      <c r="R368" s="133"/>
    </row>
    <row r="369" spans="1:18" x14ac:dyDescent="0.2">
      <c r="A369" s="131"/>
      <c r="B369" s="136"/>
      <c r="C369" s="135"/>
      <c r="D369" s="134"/>
      <c r="E369" s="133"/>
      <c r="N369" s="131"/>
      <c r="O369" s="136"/>
      <c r="P369" s="135"/>
      <c r="Q369" s="134"/>
      <c r="R369" s="133"/>
    </row>
    <row r="370" spans="1:18" x14ac:dyDescent="0.2">
      <c r="A370" s="131"/>
      <c r="B370" s="136"/>
      <c r="C370" s="135"/>
      <c r="D370" s="134"/>
      <c r="E370" s="133"/>
      <c r="N370" s="131"/>
      <c r="O370" s="136"/>
      <c r="P370" s="135"/>
      <c r="Q370" s="134"/>
      <c r="R370" s="133"/>
    </row>
    <row r="371" spans="1:18" x14ac:dyDescent="0.2">
      <c r="A371" s="131"/>
      <c r="B371" s="136"/>
      <c r="C371" s="135"/>
      <c r="D371" s="134"/>
      <c r="E371" s="133"/>
      <c r="N371" s="131"/>
      <c r="O371" s="136"/>
      <c r="P371" s="135"/>
      <c r="Q371" s="134"/>
      <c r="R371" s="133"/>
    </row>
    <row r="372" spans="1:18" x14ac:dyDescent="0.2">
      <c r="A372" s="131"/>
      <c r="B372" s="136"/>
      <c r="C372" s="135"/>
      <c r="D372" s="134"/>
      <c r="E372" s="133"/>
      <c r="N372" s="131"/>
      <c r="O372" s="136"/>
      <c r="P372" s="135"/>
      <c r="Q372" s="134"/>
      <c r="R372" s="133"/>
    </row>
    <row r="373" spans="1:18" x14ac:dyDescent="0.2">
      <c r="A373" s="131"/>
      <c r="B373" s="136"/>
      <c r="C373" s="135"/>
      <c r="D373" s="134"/>
      <c r="E373" s="133"/>
      <c r="N373" s="131"/>
      <c r="O373" s="136"/>
      <c r="P373" s="135"/>
      <c r="Q373" s="134"/>
      <c r="R373" s="133"/>
    </row>
    <row r="374" spans="1:18" x14ac:dyDescent="0.2">
      <c r="A374" s="131"/>
      <c r="B374" s="136"/>
      <c r="C374" s="135"/>
      <c r="D374" s="134"/>
      <c r="E374" s="133"/>
      <c r="N374" s="131"/>
      <c r="O374" s="136"/>
      <c r="P374" s="135"/>
      <c r="Q374" s="134"/>
      <c r="R374" s="133"/>
    </row>
    <row r="375" spans="1:18" x14ac:dyDescent="0.2">
      <c r="A375" s="131"/>
      <c r="B375" s="136"/>
      <c r="C375" s="135"/>
      <c r="D375" s="134"/>
      <c r="E375" s="133"/>
      <c r="N375" s="131"/>
      <c r="O375" s="136"/>
      <c r="P375" s="135"/>
      <c r="Q375" s="134"/>
      <c r="R375" s="133"/>
    </row>
    <row r="376" spans="1:18" x14ac:dyDescent="0.2">
      <c r="A376" s="131"/>
      <c r="B376" s="136"/>
      <c r="C376" s="135"/>
      <c r="D376" s="134"/>
      <c r="E376" s="133"/>
      <c r="N376" s="131"/>
      <c r="O376" s="136"/>
      <c r="P376" s="135"/>
      <c r="Q376" s="134"/>
      <c r="R376" s="133"/>
    </row>
    <row r="377" spans="1:18" x14ac:dyDescent="0.2">
      <c r="A377" s="131"/>
      <c r="B377" s="136"/>
      <c r="C377" s="135"/>
      <c r="D377" s="134"/>
      <c r="E377" s="133"/>
      <c r="N377" s="131"/>
      <c r="O377" s="136"/>
      <c r="P377" s="135"/>
      <c r="Q377" s="134"/>
      <c r="R377" s="133"/>
    </row>
    <row r="378" spans="1:18" x14ac:dyDescent="0.2">
      <c r="A378" s="131"/>
      <c r="B378" s="136"/>
      <c r="C378" s="135"/>
      <c r="D378" s="134"/>
      <c r="E378" s="133"/>
      <c r="N378" s="131"/>
      <c r="O378" s="136"/>
      <c r="P378" s="135"/>
      <c r="Q378" s="134"/>
      <c r="R378" s="133"/>
    </row>
    <row r="379" spans="1:18" x14ac:dyDescent="0.2">
      <c r="A379" s="131"/>
      <c r="B379" s="136"/>
      <c r="C379" s="135"/>
      <c r="D379" s="134"/>
      <c r="E379" s="133"/>
      <c r="N379" s="131"/>
      <c r="O379" s="136"/>
      <c r="P379" s="135"/>
      <c r="Q379" s="134"/>
      <c r="R379" s="133"/>
    </row>
    <row r="380" spans="1:18" x14ac:dyDescent="0.2">
      <c r="A380" s="131"/>
      <c r="B380" s="136"/>
      <c r="C380" s="135"/>
      <c r="D380" s="134"/>
      <c r="E380" s="133"/>
      <c r="N380" s="131"/>
      <c r="O380" s="136"/>
      <c r="P380" s="135"/>
      <c r="Q380" s="134"/>
      <c r="R380" s="133"/>
    </row>
    <row r="381" spans="1:18" x14ac:dyDescent="0.2">
      <c r="A381" s="131"/>
      <c r="B381" s="136"/>
      <c r="C381" s="135"/>
      <c r="D381" s="134"/>
      <c r="E381" s="133"/>
      <c r="N381" s="131"/>
      <c r="O381" s="136"/>
      <c r="P381" s="135"/>
      <c r="Q381" s="134"/>
      <c r="R381" s="133"/>
    </row>
    <row r="382" spans="1:18" x14ac:dyDescent="0.2">
      <c r="A382" s="131"/>
      <c r="B382" s="136"/>
      <c r="C382" s="135"/>
      <c r="D382" s="134"/>
      <c r="E382" s="133"/>
      <c r="N382" s="131"/>
      <c r="O382" s="136"/>
      <c r="P382" s="135"/>
      <c r="Q382" s="134"/>
      <c r="R382" s="133"/>
    </row>
    <row r="383" spans="1:18" x14ac:dyDescent="0.2">
      <c r="A383" s="131"/>
      <c r="B383" s="136"/>
      <c r="C383" s="135"/>
      <c r="D383" s="134"/>
      <c r="E383" s="133"/>
      <c r="N383" s="131"/>
      <c r="O383" s="136"/>
      <c r="P383" s="135"/>
      <c r="Q383" s="134"/>
      <c r="R383" s="133"/>
    </row>
    <row r="384" spans="1:18" x14ac:dyDescent="0.2">
      <c r="A384" s="131"/>
      <c r="B384" s="136"/>
      <c r="C384" s="135"/>
      <c r="D384" s="134"/>
      <c r="E384" s="133"/>
      <c r="N384" s="131"/>
      <c r="O384" s="136"/>
      <c r="P384" s="135"/>
      <c r="Q384" s="134"/>
      <c r="R384" s="133"/>
    </row>
    <row r="385" spans="1:18" x14ac:dyDescent="0.2">
      <c r="A385" s="131"/>
      <c r="B385" s="136"/>
      <c r="C385" s="135"/>
      <c r="D385" s="134"/>
      <c r="E385" s="133"/>
      <c r="N385" s="131"/>
      <c r="O385" s="136"/>
      <c r="P385" s="135"/>
      <c r="Q385" s="134"/>
      <c r="R385" s="133"/>
    </row>
    <row r="386" spans="1:18" x14ac:dyDescent="0.2">
      <c r="A386" s="131"/>
      <c r="B386" s="136"/>
      <c r="C386" s="135"/>
      <c r="D386" s="134"/>
      <c r="E386" s="133"/>
      <c r="N386" s="131"/>
      <c r="O386" s="136"/>
      <c r="P386" s="135"/>
      <c r="Q386" s="134"/>
      <c r="R386" s="133"/>
    </row>
    <row r="387" spans="1:18" x14ac:dyDescent="0.2">
      <c r="A387" s="131"/>
      <c r="B387" s="136"/>
      <c r="C387" s="135"/>
      <c r="D387" s="134"/>
      <c r="E387" s="133"/>
      <c r="N387" s="131"/>
      <c r="O387" s="136"/>
      <c r="P387" s="135"/>
      <c r="Q387" s="134"/>
      <c r="R387" s="133"/>
    </row>
    <row r="388" spans="1:18" x14ac:dyDescent="0.2">
      <c r="A388" s="131"/>
      <c r="B388" s="136"/>
      <c r="C388" s="135"/>
      <c r="D388" s="134"/>
      <c r="E388" s="133"/>
      <c r="N388" s="131"/>
      <c r="O388" s="136"/>
      <c r="P388" s="135"/>
      <c r="Q388" s="134"/>
      <c r="R388" s="133"/>
    </row>
    <row r="389" spans="1:18" x14ac:dyDescent="0.2">
      <c r="A389" s="131"/>
      <c r="B389" s="136"/>
      <c r="C389" s="135"/>
      <c r="D389" s="134"/>
      <c r="E389" s="133"/>
      <c r="N389" s="131"/>
      <c r="O389" s="136"/>
      <c r="P389" s="135"/>
      <c r="Q389" s="134"/>
      <c r="R389" s="133"/>
    </row>
    <row r="390" spans="1:18" x14ac:dyDescent="0.2">
      <c r="A390" s="131"/>
      <c r="B390" s="136"/>
      <c r="C390" s="135"/>
      <c r="D390" s="134"/>
      <c r="E390" s="133"/>
      <c r="N390" s="131"/>
      <c r="O390" s="136"/>
      <c r="P390" s="135"/>
      <c r="Q390" s="134"/>
      <c r="R390" s="133"/>
    </row>
    <row r="391" spans="1:18" x14ac:dyDescent="0.2">
      <c r="A391" s="131"/>
      <c r="B391" s="136"/>
      <c r="C391" s="135"/>
      <c r="D391" s="134"/>
      <c r="E391" s="133"/>
      <c r="N391" s="131"/>
      <c r="O391" s="136"/>
      <c r="P391" s="135"/>
      <c r="Q391" s="134"/>
      <c r="R391" s="133"/>
    </row>
    <row r="392" spans="1:18" x14ac:dyDescent="0.2">
      <c r="A392" s="131"/>
      <c r="B392" s="136"/>
      <c r="C392" s="135"/>
      <c r="D392" s="134"/>
      <c r="E392" s="133"/>
      <c r="N392" s="131"/>
      <c r="O392" s="136"/>
      <c r="P392" s="135"/>
      <c r="Q392" s="134"/>
      <c r="R392" s="133"/>
    </row>
    <row r="393" spans="1:18" x14ac:dyDescent="0.2">
      <c r="A393" s="131"/>
      <c r="B393" s="136"/>
      <c r="C393" s="135"/>
      <c r="D393" s="134"/>
      <c r="E393" s="133"/>
      <c r="N393" s="131"/>
      <c r="O393" s="136"/>
      <c r="P393" s="135"/>
      <c r="Q393" s="134"/>
      <c r="R393" s="133"/>
    </row>
    <row r="394" spans="1:18" x14ac:dyDescent="0.2">
      <c r="A394" s="131"/>
      <c r="B394" s="136"/>
      <c r="C394" s="135"/>
      <c r="D394" s="134"/>
      <c r="E394" s="133"/>
      <c r="N394" s="131"/>
      <c r="O394" s="136"/>
      <c r="P394" s="135"/>
      <c r="Q394" s="134"/>
      <c r="R394" s="133"/>
    </row>
    <row r="395" spans="1:18" x14ac:dyDescent="0.2">
      <c r="A395" s="131"/>
      <c r="B395" s="136"/>
      <c r="C395" s="135"/>
      <c r="D395" s="134"/>
      <c r="E395" s="133"/>
      <c r="N395" s="131"/>
      <c r="O395" s="136"/>
      <c r="P395" s="135"/>
      <c r="Q395" s="134"/>
      <c r="R395" s="133"/>
    </row>
    <row r="396" spans="1:18" x14ac:dyDescent="0.2">
      <c r="A396" s="131"/>
      <c r="B396" s="136"/>
      <c r="C396" s="135"/>
      <c r="D396" s="134"/>
      <c r="E396" s="133"/>
      <c r="N396" s="131"/>
      <c r="O396" s="136"/>
      <c r="P396" s="135"/>
      <c r="Q396" s="134"/>
      <c r="R396" s="133"/>
    </row>
    <row r="397" spans="1:18" x14ac:dyDescent="0.2">
      <c r="A397" s="131"/>
      <c r="B397" s="136"/>
      <c r="C397" s="135"/>
      <c r="D397" s="134"/>
      <c r="E397" s="133"/>
      <c r="N397" s="131"/>
      <c r="O397" s="136"/>
      <c r="P397" s="135"/>
      <c r="Q397" s="134"/>
      <c r="R397" s="133"/>
    </row>
    <row r="398" spans="1:18" x14ac:dyDescent="0.2">
      <c r="A398" s="131"/>
      <c r="B398" s="136"/>
      <c r="C398" s="135"/>
      <c r="D398" s="134"/>
      <c r="E398" s="133"/>
      <c r="N398" s="131"/>
      <c r="O398" s="136"/>
      <c r="P398" s="135"/>
      <c r="Q398" s="134"/>
      <c r="R398" s="133"/>
    </row>
    <row r="399" spans="1:18" x14ac:dyDescent="0.2">
      <c r="A399" s="131"/>
      <c r="B399" s="136"/>
      <c r="C399" s="135"/>
      <c r="D399" s="134"/>
      <c r="E399" s="133"/>
      <c r="N399" s="131"/>
      <c r="O399" s="136"/>
      <c r="P399" s="135"/>
      <c r="Q399" s="134"/>
      <c r="R399" s="133"/>
    </row>
    <row r="400" spans="1:18" x14ac:dyDescent="0.2">
      <c r="A400" s="131"/>
      <c r="B400" s="136"/>
      <c r="C400" s="135"/>
      <c r="D400" s="134"/>
      <c r="E400" s="133"/>
      <c r="N400" s="131"/>
      <c r="O400" s="136"/>
      <c r="P400" s="135"/>
      <c r="Q400" s="134"/>
      <c r="R400" s="133"/>
    </row>
    <row r="401" spans="1:18" x14ac:dyDescent="0.2">
      <c r="A401" s="131"/>
      <c r="B401" s="136"/>
      <c r="C401" s="135"/>
      <c r="D401" s="134"/>
      <c r="E401" s="133"/>
      <c r="N401" s="131"/>
      <c r="O401" s="136"/>
      <c r="P401" s="135"/>
      <c r="Q401" s="134"/>
      <c r="R401" s="133"/>
    </row>
    <row r="402" spans="1:18" x14ac:dyDescent="0.2">
      <c r="A402" s="131"/>
      <c r="B402" s="136"/>
      <c r="C402" s="135"/>
      <c r="D402" s="134"/>
      <c r="E402" s="133"/>
      <c r="N402" s="131"/>
      <c r="O402" s="136"/>
      <c r="P402" s="135"/>
      <c r="Q402" s="134"/>
      <c r="R402" s="133"/>
    </row>
    <row r="403" spans="1:18" x14ac:dyDescent="0.2">
      <c r="A403" s="131"/>
      <c r="B403" s="136"/>
      <c r="C403" s="135"/>
      <c r="D403" s="134"/>
      <c r="E403" s="133"/>
      <c r="N403" s="131"/>
      <c r="O403" s="136"/>
      <c r="P403" s="135"/>
      <c r="Q403" s="134"/>
      <c r="R403" s="133"/>
    </row>
    <row r="404" spans="1:18" x14ac:dyDescent="0.2">
      <c r="A404" s="131"/>
      <c r="B404" s="136"/>
      <c r="C404" s="135"/>
      <c r="D404" s="134"/>
      <c r="E404" s="133"/>
      <c r="N404" s="131"/>
      <c r="O404" s="136"/>
      <c r="P404" s="135"/>
      <c r="Q404" s="134"/>
      <c r="R404" s="133"/>
    </row>
    <row r="405" spans="1:18" x14ac:dyDescent="0.2">
      <c r="A405" s="131"/>
      <c r="B405" s="136"/>
      <c r="C405" s="135"/>
      <c r="D405" s="134"/>
      <c r="E405" s="133"/>
      <c r="N405" s="131"/>
      <c r="O405" s="136"/>
      <c r="P405" s="135"/>
      <c r="Q405" s="134"/>
      <c r="R405" s="133"/>
    </row>
    <row r="406" spans="1:18" x14ac:dyDescent="0.2">
      <c r="A406" s="131"/>
      <c r="B406" s="136"/>
      <c r="C406" s="135"/>
      <c r="D406" s="134"/>
      <c r="E406" s="133"/>
      <c r="N406" s="131"/>
      <c r="O406" s="136"/>
      <c r="P406" s="135"/>
      <c r="Q406" s="134"/>
      <c r="R406" s="133"/>
    </row>
    <row r="407" spans="1:18" x14ac:dyDescent="0.2">
      <c r="A407" s="131"/>
      <c r="B407" s="136"/>
      <c r="C407" s="135"/>
      <c r="D407" s="134"/>
      <c r="E407" s="133"/>
      <c r="N407" s="131"/>
      <c r="O407" s="136"/>
      <c r="P407" s="135"/>
      <c r="Q407" s="134"/>
      <c r="R407" s="133"/>
    </row>
    <row r="408" spans="1:18" x14ac:dyDescent="0.2">
      <c r="A408" s="131"/>
      <c r="B408" s="136"/>
      <c r="C408" s="135"/>
      <c r="D408" s="134"/>
      <c r="E408" s="133"/>
      <c r="N408" s="131"/>
      <c r="O408" s="136"/>
      <c r="P408" s="135"/>
      <c r="Q408" s="134"/>
      <c r="R408" s="133"/>
    </row>
    <row r="409" spans="1:18" x14ac:dyDescent="0.2">
      <c r="A409" s="131"/>
      <c r="B409" s="136"/>
      <c r="C409" s="135"/>
      <c r="D409" s="134"/>
      <c r="E409" s="133"/>
      <c r="N409" s="131"/>
      <c r="O409" s="136"/>
      <c r="P409" s="135"/>
      <c r="Q409" s="134"/>
      <c r="R409" s="133"/>
    </row>
    <row r="410" spans="1:18" x14ac:dyDescent="0.2">
      <c r="A410" s="131"/>
      <c r="B410" s="136"/>
      <c r="C410" s="135"/>
      <c r="D410" s="134"/>
      <c r="E410" s="133"/>
      <c r="N410" s="131"/>
      <c r="O410" s="136"/>
      <c r="P410" s="135"/>
      <c r="Q410" s="134"/>
      <c r="R410" s="133"/>
    </row>
    <row r="411" spans="1:18" x14ac:dyDescent="0.2">
      <c r="A411" s="131"/>
      <c r="B411" s="136"/>
      <c r="C411" s="135"/>
      <c r="D411" s="134"/>
      <c r="E411" s="133"/>
      <c r="N411" s="131"/>
      <c r="O411" s="136"/>
      <c r="P411" s="135"/>
      <c r="Q411" s="134"/>
      <c r="R411" s="133"/>
    </row>
    <row r="412" spans="1:18" x14ac:dyDescent="0.2">
      <c r="A412" s="131"/>
      <c r="B412" s="136"/>
      <c r="C412" s="135"/>
      <c r="D412" s="134"/>
      <c r="E412" s="133"/>
      <c r="N412" s="131"/>
      <c r="O412" s="136"/>
      <c r="P412" s="135"/>
      <c r="Q412" s="134"/>
      <c r="R412" s="133"/>
    </row>
    <row r="413" spans="1:18" x14ac:dyDescent="0.2">
      <c r="A413" s="131"/>
      <c r="B413" s="136"/>
      <c r="C413" s="135"/>
      <c r="D413" s="134"/>
      <c r="E413" s="133"/>
      <c r="N413" s="131"/>
      <c r="O413" s="136"/>
      <c r="P413" s="135"/>
      <c r="Q413" s="134"/>
      <c r="R413" s="133"/>
    </row>
    <row r="414" spans="1:18" x14ac:dyDescent="0.2">
      <c r="A414" s="131"/>
      <c r="B414" s="136"/>
      <c r="C414" s="135"/>
      <c r="D414" s="134"/>
      <c r="E414" s="133"/>
      <c r="N414" s="131"/>
      <c r="O414" s="136"/>
      <c r="P414" s="135"/>
      <c r="Q414" s="134"/>
      <c r="R414" s="133"/>
    </row>
    <row r="415" spans="1:18" x14ac:dyDescent="0.2">
      <c r="A415" s="131"/>
      <c r="B415" s="136"/>
      <c r="C415" s="135"/>
      <c r="D415" s="134"/>
      <c r="E415" s="133"/>
      <c r="N415" s="131"/>
      <c r="O415" s="136"/>
      <c r="P415" s="135"/>
      <c r="Q415" s="134"/>
      <c r="R415" s="133"/>
    </row>
    <row r="416" spans="1:18" x14ac:dyDescent="0.2">
      <c r="A416" s="131"/>
      <c r="B416" s="136"/>
      <c r="C416" s="135"/>
      <c r="D416" s="134"/>
      <c r="E416" s="133"/>
      <c r="N416" s="131"/>
      <c r="O416" s="136"/>
      <c r="P416" s="135"/>
      <c r="Q416" s="134"/>
      <c r="R416" s="133"/>
    </row>
    <row r="417" spans="1:18" x14ac:dyDescent="0.2">
      <c r="A417" s="131"/>
      <c r="B417" s="136"/>
      <c r="C417" s="135"/>
      <c r="D417" s="134"/>
      <c r="E417" s="133"/>
      <c r="N417" s="131"/>
      <c r="O417" s="136"/>
      <c r="P417" s="135"/>
      <c r="Q417" s="134"/>
      <c r="R417" s="133"/>
    </row>
    <row r="418" spans="1:18" x14ac:dyDescent="0.2">
      <c r="A418" s="131"/>
      <c r="B418" s="136"/>
      <c r="C418" s="135"/>
      <c r="D418" s="134"/>
      <c r="E418" s="133"/>
      <c r="N418" s="131"/>
      <c r="O418" s="136"/>
      <c r="P418" s="135"/>
      <c r="Q418" s="134"/>
      <c r="R418" s="133"/>
    </row>
    <row r="419" spans="1:18" x14ac:dyDescent="0.2">
      <c r="A419" s="131"/>
      <c r="B419" s="136"/>
      <c r="C419" s="135"/>
      <c r="D419" s="134"/>
      <c r="E419" s="133"/>
      <c r="N419" s="131"/>
      <c r="O419" s="136"/>
      <c r="P419" s="135"/>
      <c r="Q419" s="134"/>
      <c r="R419" s="133"/>
    </row>
    <row r="420" spans="1:18" x14ac:dyDescent="0.2">
      <c r="A420" s="131"/>
      <c r="B420" s="136"/>
      <c r="C420" s="135"/>
      <c r="D420" s="134"/>
      <c r="E420" s="133"/>
      <c r="N420" s="131"/>
      <c r="O420" s="136"/>
      <c r="P420" s="135"/>
      <c r="Q420" s="134"/>
      <c r="R420" s="133"/>
    </row>
    <row r="421" spans="1:18" x14ac:dyDescent="0.2">
      <c r="A421" s="131"/>
      <c r="B421" s="136"/>
      <c r="C421" s="135"/>
      <c r="D421" s="134"/>
      <c r="E421" s="133"/>
      <c r="N421" s="131"/>
      <c r="O421" s="136"/>
      <c r="P421" s="135"/>
      <c r="Q421" s="134"/>
      <c r="R421" s="133"/>
    </row>
    <row r="422" spans="1:18" x14ac:dyDescent="0.2">
      <c r="A422" s="131"/>
      <c r="B422" s="136"/>
      <c r="C422" s="135"/>
      <c r="D422" s="134"/>
      <c r="E422" s="133"/>
      <c r="N422" s="131"/>
      <c r="O422" s="136"/>
      <c r="P422" s="135"/>
      <c r="Q422" s="134"/>
      <c r="R422" s="133"/>
    </row>
    <row r="423" spans="1:18" x14ac:dyDescent="0.2">
      <c r="A423" s="131"/>
      <c r="B423" s="136"/>
      <c r="C423" s="135"/>
      <c r="D423" s="134"/>
      <c r="E423" s="133"/>
      <c r="N423" s="131"/>
      <c r="O423" s="136"/>
      <c r="P423" s="135"/>
      <c r="Q423" s="134"/>
      <c r="R423" s="133"/>
    </row>
    <row r="424" spans="1:18" x14ac:dyDescent="0.2">
      <c r="A424" s="131"/>
      <c r="B424" s="136"/>
      <c r="C424" s="135"/>
      <c r="D424" s="134"/>
      <c r="E424" s="133"/>
      <c r="N424" s="131"/>
      <c r="O424" s="136"/>
      <c r="P424" s="135"/>
      <c r="Q424" s="134"/>
      <c r="R424" s="133"/>
    </row>
    <row r="425" spans="1:18" x14ac:dyDescent="0.2">
      <c r="A425" s="131"/>
      <c r="B425" s="136"/>
      <c r="C425" s="135"/>
      <c r="D425" s="134"/>
      <c r="E425" s="133"/>
      <c r="N425" s="131"/>
      <c r="O425" s="136"/>
      <c r="P425" s="135"/>
      <c r="Q425" s="134"/>
      <c r="R425" s="133"/>
    </row>
    <row r="426" spans="1:18" x14ac:dyDescent="0.2">
      <c r="A426" s="131"/>
      <c r="B426" s="136"/>
      <c r="C426" s="135"/>
      <c r="D426" s="134"/>
      <c r="E426" s="133"/>
      <c r="N426" s="131"/>
      <c r="O426" s="136"/>
      <c r="P426" s="135"/>
      <c r="Q426" s="134"/>
      <c r="R426" s="133"/>
    </row>
    <row r="427" spans="1:18" x14ac:dyDescent="0.2">
      <c r="A427" s="131"/>
      <c r="B427" s="136"/>
      <c r="C427" s="135"/>
      <c r="D427" s="134"/>
      <c r="E427" s="133"/>
      <c r="N427" s="131"/>
      <c r="O427" s="136"/>
      <c r="P427" s="135"/>
      <c r="Q427" s="134"/>
      <c r="R427" s="133"/>
    </row>
    <row r="428" spans="1:18" x14ac:dyDescent="0.2">
      <c r="A428" s="131"/>
      <c r="B428" s="136"/>
      <c r="C428" s="135"/>
      <c r="D428" s="134"/>
      <c r="E428" s="133"/>
      <c r="N428" s="131"/>
      <c r="O428" s="136"/>
      <c r="P428" s="135"/>
      <c r="Q428" s="134"/>
      <c r="R428" s="133"/>
    </row>
    <row r="429" spans="1:18" x14ac:dyDescent="0.2">
      <c r="A429" s="131"/>
      <c r="B429" s="136"/>
      <c r="C429" s="135"/>
      <c r="D429" s="134"/>
      <c r="E429" s="133"/>
      <c r="N429" s="131"/>
      <c r="O429" s="136"/>
      <c r="P429" s="135"/>
      <c r="Q429" s="134"/>
      <c r="R429" s="133"/>
    </row>
    <row r="430" spans="1:18" x14ac:dyDescent="0.2">
      <c r="A430" s="131"/>
      <c r="B430" s="136"/>
      <c r="C430" s="135"/>
      <c r="D430" s="134"/>
      <c r="E430" s="133"/>
      <c r="N430" s="131"/>
      <c r="O430" s="136"/>
      <c r="P430" s="135"/>
      <c r="Q430" s="134"/>
      <c r="R430" s="133"/>
    </row>
    <row r="431" spans="1:18" x14ac:dyDescent="0.2">
      <c r="A431" s="131"/>
      <c r="B431" s="136"/>
      <c r="C431" s="135"/>
      <c r="D431" s="134"/>
      <c r="E431" s="133"/>
      <c r="N431" s="131"/>
      <c r="O431" s="136"/>
      <c r="P431" s="135"/>
      <c r="Q431" s="134"/>
      <c r="R431" s="133"/>
    </row>
    <row r="432" spans="1:18" x14ac:dyDescent="0.2">
      <c r="A432" s="131"/>
      <c r="B432" s="136"/>
      <c r="C432" s="135"/>
      <c r="D432" s="134"/>
      <c r="E432" s="133"/>
      <c r="N432" s="131"/>
      <c r="O432" s="136"/>
      <c r="P432" s="135"/>
      <c r="Q432" s="134"/>
      <c r="R432" s="133"/>
    </row>
    <row r="433" spans="1:18" x14ac:dyDescent="0.2">
      <c r="A433" s="131"/>
      <c r="B433" s="136"/>
      <c r="C433" s="135"/>
      <c r="D433" s="134"/>
      <c r="E433" s="133"/>
      <c r="N433" s="131"/>
      <c r="O433" s="136"/>
      <c r="P433" s="135"/>
      <c r="Q433" s="134"/>
      <c r="R433" s="133"/>
    </row>
    <row r="434" spans="1:18" x14ac:dyDescent="0.2">
      <c r="A434" s="131"/>
      <c r="B434" s="136"/>
      <c r="C434" s="135"/>
      <c r="D434" s="134"/>
      <c r="E434" s="133"/>
      <c r="N434" s="131"/>
      <c r="O434" s="136"/>
      <c r="P434" s="135"/>
      <c r="Q434" s="134"/>
      <c r="R434" s="133"/>
    </row>
    <row r="435" spans="1:18" x14ac:dyDescent="0.2">
      <c r="A435" s="131"/>
      <c r="B435" s="136"/>
      <c r="C435" s="135"/>
      <c r="D435" s="134"/>
      <c r="E435" s="133"/>
      <c r="N435" s="131"/>
      <c r="O435" s="136"/>
      <c r="P435" s="135"/>
      <c r="Q435" s="134"/>
      <c r="R435" s="133"/>
    </row>
    <row r="436" spans="1:18" x14ac:dyDescent="0.2">
      <c r="A436" s="131"/>
      <c r="B436" s="136"/>
      <c r="C436" s="135"/>
      <c r="D436" s="134"/>
      <c r="E436" s="133"/>
      <c r="N436" s="131"/>
      <c r="O436" s="136"/>
      <c r="P436" s="135"/>
      <c r="Q436" s="134"/>
      <c r="R436" s="133"/>
    </row>
    <row r="437" spans="1:18" x14ac:dyDescent="0.2">
      <c r="A437" s="131"/>
      <c r="B437" s="136"/>
      <c r="C437" s="135"/>
      <c r="D437" s="134"/>
      <c r="E437" s="133"/>
      <c r="N437" s="131"/>
      <c r="O437" s="136"/>
      <c r="P437" s="135"/>
      <c r="Q437" s="134"/>
      <c r="R437" s="133"/>
    </row>
    <row r="438" spans="1:18" x14ac:dyDescent="0.2">
      <c r="A438" s="131"/>
      <c r="B438" s="136"/>
      <c r="C438" s="135"/>
      <c r="D438" s="134"/>
      <c r="E438" s="133"/>
      <c r="N438" s="131"/>
      <c r="O438" s="136"/>
      <c r="P438" s="135"/>
      <c r="Q438" s="134"/>
      <c r="R438" s="133"/>
    </row>
    <row r="439" spans="1:18" x14ac:dyDescent="0.2">
      <c r="A439" s="131"/>
      <c r="B439" s="136"/>
      <c r="C439" s="135"/>
      <c r="D439" s="134"/>
      <c r="E439" s="133"/>
      <c r="N439" s="131"/>
      <c r="O439" s="136"/>
      <c r="P439" s="135"/>
      <c r="Q439" s="134"/>
      <c r="R439" s="133"/>
    </row>
    <row r="440" spans="1:18" x14ac:dyDescent="0.2">
      <c r="A440" s="131"/>
      <c r="B440" s="136"/>
      <c r="C440" s="135"/>
      <c r="D440" s="134"/>
      <c r="E440" s="133"/>
      <c r="N440" s="131"/>
      <c r="O440" s="136"/>
      <c r="P440" s="135"/>
      <c r="Q440" s="134"/>
      <c r="R440" s="133"/>
    </row>
    <row r="441" spans="1:18" x14ac:dyDescent="0.2">
      <c r="A441" s="131"/>
      <c r="B441" s="136"/>
      <c r="C441" s="135"/>
      <c r="D441" s="134"/>
      <c r="E441" s="133"/>
      <c r="N441" s="131"/>
      <c r="O441" s="136"/>
      <c r="P441" s="135"/>
      <c r="Q441" s="134"/>
      <c r="R441" s="133"/>
    </row>
    <row r="442" spans="1:18" x14ac:dyDescent="0.2">
      <c r="A442" s="131"/>
      <c r="B442" s="136"/>
      <c r="C442" s="135"/>
      <c r="D442" s="134"/>
      <c r="E442" s="133"/>
      <c r="N442" s="131"/>
      <c r="O442" s="136"/>
      <c r="P442" s="135"/>
      <c r="Q442" s="134"/>
      <c r="R442" s="133"/>
    </row>
    <row r="443" spans="1:18" x14ac:dyDescent="0.2">
      <c r="A443" s="131"/>
      <c r="B443" s="136"/>
      <c r="C443" s="135"/>
      <c r="D443" s="134"/>
      <c r="E443" s="133"/>
      <c r="N443" s="131"/>
      <c r="O443" s="136"/>
      <c r="P443" s="135"/>
      <c r="Q443" s="134"/>
      <c r="R443" s="133"/>
    </row>
    <row r="444" spans="1:18" x14ac:dyDescent="0.2">
      <c r="A444" s="131"/>
      <c r="B444" s="136"/>
      <c r="C444" s="135"/>
      <c r="D444" s="134"/>
      <c r="E444" s="133"/>
      <c r="N444" s="131"/>
      <c r="O444" s="136"/>
      <c r="P444" s="135"/>
      <c r="Q444" s="134"/>
      <c r="R444" s="133"/>
    </row>
    <row r="445" spans="1:18" x14ac:dyDescent="0.2">
      <c r="A445" s="131"/>
      <c r="B445" s="136"/>
      <c r="C445" s="135"/>
      <c r="D445" s="134"/>
      <c r="E445" s="133"/>
      <c r="N445" s="131"/>
      <c r="O445" s="136"/>
      <c r="P445" s="135"/>
      <c r="Q445" s="134"/>
      <c r="R445" s="133"/>
    </row>
    <row r="446" spans="1:18" x14ac:dyDescent="0.2">
      <c r="A446" s="131"/>
      <c r="B446" s="136"/>
      <c r="C446" s="135"/>
      <c r="D446" s="134"/>
      <c r="E446" s="133"/>
      <c r="N446" s="131"/>
      <c r="O446" s="136"/>
      <c r="P446" s="135"/>
      <c r="Q446" s="134"/>
      <c r="R446" s="133"/>
    </row>
    <row r="447" spans="1:18" x14ac:dyDescent="0.2">
      <c r="A447" s="131"/>
      <c r="B447" s="136"/>
      <c r="C447" s="135"/>
      <c r="D447" s="134"/>
      <c r="E447" s="133"/>
      <c r="N447" s="131"/>
      <c r="O447" s="136"/>
      <c r="P447" s="135"/>
      <c r="Q447" s="134"/>
      <c r="R447" s="133"/>
    </row>
    <row r="448" spans="1:18" x14ac:dyDescent="0.2">
      <c r="A448" s="131"/>
      <c r="B448" s="136"/>
      <c r="C448" s="135"/>
      <c r="D448" s="134"/>
      <c r="E448" s="133"/>
      <c r="N448" s="131"/>
      <c r="O448" s="136"/>
      <c r="P448" s="135"/>
      <c r="Q448" s="134"/>
      <c r="R448" s="133"/>
    </row>
    <row r="449" spans="1:18" x14ac:dyDescent="0.2">
      <c r="A449" s="131"/>
      <c r="B449" s="136"/>
      <c r="C449" s="135"/>
      <c r="D449" s="134"/>
      <c r="E449" s="133"/>
      <c r="N449" s="131"/>
      <c r="O449" s="136"/>
      <c r="P449" s="135"/>
      <c r="Q449" s="134"/>
      <c r="R449" s="133"/>
    </row>
    <row r="450" spans="1:18" x14ac:dyDescent="0.2">
      <c r="A450" s="131"/>
      <c r="B450" s="136"/>
      <c r="C450" s="135"/>
      <c r="D450" s="134"/>
      <c r="E450" s="133"/>
      <c r="N450" s="131"/>
      <c r="O450" s="136"/>
      <c r="P450" s="135"/>
      <c r="Q450" s="134"/>
      <c r="R450" s="133"/>
    </row>
    <row r="451" spans="1:18" x14ac:dyDescent="0.2">
      <c r="A451" s="131"/>
      <c r="B451" s="136"/>
      <c r="C451" s="135"/>
      <c r="D451" s="134"/>
      <c r="E451" s="133"/>
      <c r="N451" s="131"/>
      <c r="O451" s="136"/>
      <c r="P451" s="135"/>
      <c r="Q451" s="134"/>
      <c r="R451" s="133"/>
    </row>
    <row r="452" spans="1:18" x14ac:dyDescent="0.2">
      <c r="A452" s="131"/>
      <c r="B452" s="136"/>
      <c r="C452" s="135"/>
      <c r="D452" s="134"/>
      <c r="E452" s="133"/>
      <c r="N452" s="131"/>
      <c r="O452" s="136"/>
      <c r="P452" s="135"/>
      <c r="Q452" s="134"/>
      <c r="R452" s="133"/>
    </row>
    <row r="453" spans="1:18" x14ac:dyDescent="0.2">
      <c r="A453" s="131"/>
      <c r="B453" s="136"/>
      <c r="C453" s="135"/>
      <c r="D453" s="134"/>
      <c r="E453" s="133"/>
      <c r="N453" s="131"/>
      <c r="O453" s="136"/>
      <c r="P453" s="135"/>
      <c r="Q453" s="134"/>
      <c r="R453" s="133"/>
    </row>
    <row r="454" spans="1:18" x14ac:dyDescent="0.2">
      <c r="A454" s="131"/>
      <c r="B454" s="136"/>
      <c r="C454" s="135"/>
      <c r="D454" s="134"/>
      <c r="E454" s="133"/>
      <c r="N454" s="131"/>
      <c r="O454" s="136"/>
      <c r="P454" s="135"/>
      <c r="Q454" s="134"/>
      <c r="R454" s="133"/>
    </row>
    <row r="455" spans="1:18" x14ac:dyDescent="0.2">
      <c r="A455" s="131"/>
      <c r="B455" s="136"/>
      <c r="C455" s="135"/>
      <c r="D455" s="134"/>
      <c r="E455" s="133"/>
      <c r="N455" s="131"/>
      <c r="O455" s="136"/>
      <c r="P455" s="135"/>
      <c r="Q455" s="134"/>
      <c r="R455" s="133"/>
    </row>
    <row r="456" spans="1:18" x14ac:dyDescent="0.2">
      <c r="A456" s="131"/>
      <c r="B456" s="136"/>
      <c r="C456" s="135"/>
      <c r="D456" s="134"/>
      <c r="E456" s="133"/>
      <c r="N456" s="131"/>
      <c r="O456" s="136"/>
      <c r="P456" s="135"/>
      <c r="Q456" s="134"/>
      <c r="R456" s="133"/>
    </row>
    <row r="457" spans="1:18" x14ac:dyDescent="0.2">
      <c r="A457" s="131"/>
      <c r="B457" s="136"/>
      <c r="C457" s="135"/>
      <c r="D457" s="134"/>
      <c r="E457" s="133"/>
      <c r="N457" s="131"/>
      <c r="O457" s="136"/>
      <c r="P457" s="135"/>
      <c r="Q457" s="134"/>
      <c r="R457" s="133"/>
    </row>
    <row r="458" spans="1:18" x14ac:dyDescent="0.2">
      <c r="A458" s="131"/>
      <c r="B458" s="136"/>
      <c r="C458" s="135"/>
      <c r="D458" s="134"/>
      <c r="E458" s="133"/>
      <c r="N458" s="131"/>
      <c r="O458" s="136"/>
      <c r="P458" s="135"/>
      <c r="Q458" s="134"/>
      <c r="R458" s="133"/>
    </row>
    <row r="459" spans="1:18" x14ac:dyDescent="0.2">
      <c r="A459" s="131"/>
      <c r="B459" s="136"/>
      <c r="C459" s="135"/>
      <c r="D459" s="134"/>
      <c r="E459" s="133"/>
      <c r="N459" s="131"/>
      <c r="O459" s="136"/>
      <c r="P459" s="135"/>
      <c r="Q459" s="134"/>
      <c r="R459" s="133"/>
    </row>
    <row r="460" spans="1:18" x14ac:dyDescent="0.2">
      <c r="A460" s="131"/>
      <c r="B460" s="136"/>
      <c r="C460" s="135"/>
      <c r="D460" s="134"/>
      <c r="E460" s="133"/>
      <c r="N460" s="131"/>
      <c r="O460" s="136"/>
      <c r="P460" s="135"/>
      <c r="Q460" s="134"/>
      <c r="R460" s="133"/>
    </row>
    <row r="461" spans="1:18" x14ac:dyDescent="0.2">
      <c r="A461" s="131"/>
      <c r="B461" s="136"/>
      <c r="C461" s="135"/>
      <c r="D461" s="134"/>
      <c r="E461" s="133"/>
      <c r="N461" s="131"/>
      <c r="O461" s="136"/>
      <c r="P461" s="135"/>
      <c r="Q461" s="134"/>
      <c r="R461" s="133"/>
    </row>
    <row r="462" spans="1:18" x14ac:dyDescent="0.2">
      <c r="A462" s="131"/>
      <c r="B462" s="136"/>
      <c r="C462" s="135"/>
      <c r="D462" s="134"/>
      <c r="E462" s="133"/>
      <c r="N462" s="131"/>
      <c r="O462" s="136"/>
      <c r="P462" s="135"/>
      <c r="Q462" s="134"/>
      <c r="R462" s="133"/>
    </row>
    <row r="463" spans="1:18" x14ac:dyDescent="0.2">
      <c r="A463" s="131"/>
      <c r="B463" s="136"/>
      <c r="C463" s="135"/>
      <c r="D463" s="134"/>
      <c r="E463" s="133"/>
      <c r="N463" s="131"/>
      <c r="O463" s="136"/>
      <c r="P463" s="135"/>
      <c r="Q463" s="134"/>
      <c r="R463" s="133"/>
    </row>
    <row r="464" spans="1:18" x14ac:dyDescent="0.2">
      <c r="A464" s="131"/>
      <c r="B464" s="136"/>
      <c r="C464" s="135"/>
      <c r="D464" s="134"/>
      <c r="E464" s="133"/>
      <c r="N464" s="131"/>
      <c r="O464" s="136"/>
      <c r="P464" s="135"/>
      <c r="Q464" s="134"/>
      <c r="R464" s="133"/>
    </row>
    <row r="465" spans="1:18" x14ac:dyDescent="0.2">
      <c r="A465" s="131"/>
      <c r="B465" s="136"/>
      <c r="C465" s="135"/>
      <c r="D465" s="134"/>
      <c r="E465" s="133"/>
      <c r="N465" s="131"/>
      <c r="O465" s="136"/>
      <c r="P465" s="135"/>
      <c r="Q465" s="134"/>
      <c r="R465" s="133"/>
    </row>
    <row r="466" spans="1:18" x14ac:dyDescent="0.2">
      <c r="A466" s="131"/>
      <c r="B466" s="136"/>
      <c r="C466" s="135"/>
      <c r="D466" s="134"/>
      <c r="E466" s="133"/>
      <c r="N466" s="131"/>
      <c r="O466" s="136"/>
      <c r="P466" s="135"/>
      <c r="Q466" s="134"/>
      <c r="R466" s="133"/>
    </row>
    <row r="467" spans="1:18" x14ac:dyDescent="0.2">
      <c r="A467" s="131"/>
      <c r="B467" s="136"/>
      <c r="C467" s="135"/>
      <c r="D467" s="134"/>
      <c r="E467" s="133"/>
      <c r="N467" s="131"/>
      <c r="O467" s="136"/>
      <c r="P467" s="135"/>
      <c r="Q467" s="134"/>
      <c r="R467" s="133"/>
    </row>
    <row r="468" spans="1:18" x14ac:dyDescent="0.2">
      <c r="A468" s="131"/>
      <c r="B468" s="136"/>
      <c r="C468" s="135"/>
      <c r="D468" s="134"/>
      <c r="E468" s="133"/>
      <c r="N468" s="131"/>
      <c r="O468" s="136"/>
      <c r="P468" s="135"/>
      <c r="Q468" s="134"/>
      <c r="R468" s="133"/>
    </row>
    <row r="469" spans="1:18" x14ac:dyDescent="0.2">
      <c r="A469" s="131"/>
      <c r="B469" s="136"/>
      <c r="C469" s="135"/>
      <c r="D469" s="134"/>
      <c r="E469" s="133"/>
      <c r="N469" s="131"/>
      <c r="O469" s="136"/>
      <c r="P469" s="135"/>
      <c r="Q469" s="134"/>
      <c r="R469" s="133"/>
    </row>
    <row r="470" spans="1:18" x14ac:dyDescent="0.2">
      <c r="A470" s="131"/>
      <c r="B470" s="136"/>
      <c r="C470" s="135"/>
      <c r="D470" s="134"/>
      <c r="E470" s="133"/>
      <c r="N470" s="131"/>
      <c r="O470" s="136"/>
      <c r="P470" s="135"/>
      <c r="Q470" s="134"/>
      <c r="R470" s="133"/>
    </row>
    <row r="471" spans="1:18" x14ac:dyDescent="0.2">
      <c r="A471" s="131"/>
      <c r="B471" s="136"/>
      <c r="C471" s="135"/>
      <c r="D471" s="134"/>
      <c r="E471" s="133"/>
      <c r="N471" s="131"/>
      <c r="O471" s="136"/>
      <c r="P471" s="135"/>
      <c r="Q471" s="134"/>
      <c r="R471" s="133"/>
    </row>
    <row r="472" spans="1:18" x14ac:dyDescent="0.2">
      <c r="A472" s="131"/>
      <c r="B472" s="136"/>
      <c r="C472" s="135"/>
      <c r="D472" s="134"/>
      <c r="E472" s="133"/>
      <c r="N472" s="131"/>
      <c r="O472" s="136"/>
      <c r="P472" s="135"/>
      <c r="Q472" s="134"/>
      <c r="R472" s="133"/>
    </row>
    <row r="473" spans="1:18" x14ac:dyDescent="0.2">
      <c r="A473" s="131"/>
      <c r="B473" s="136"/>
      <c r="C473" s="135"/>
      <c r="D473" s="134"/>
      <c r="E473" s="133"/>
      <c r="N473" s="131"/>
      <c r="O473" s="136"/>
      <c r="P473" s="135"/>
      <c r="Q473" s="134"/>
      <c r="R473" s="133"/>
    </row>
    <row r="474" spans="1:18" x14ac:dyDescent="0.2">
      <c r="A474" s="131"/>
      <c r="B474" s="136"/>
      <c r="C474" s="135"/>
      <c r="D474" s="134"/>
      <c r="E474" s="133"/>
      <c r="N474" s="131"/>
      <c r="O474" s="136"/>
      <c r="P474" s="135"/>
      <c r="Q474" s="134"/>
      <c r="R474" s="133"/>
    </row>
    <row r="475" spans="1:18" x14ac:dyDescent="0.2">
      <c r="A475" s="131"/>
      <c r="B475" s="136"/>
      <c r="C475" s="135"/>
      <c r="D475" s="134"/>
      <c r="E475" s="133"/>
      <c r="N475" s="131"/>
      <c r="O475" s="136"/>
      <c r="P475" s="135"/>
      <c r="Q475" s="134"/>
      <c r="R475" s="133"/>
    </row>
    <row r="476" spans="1:18" x14ac:dyDescent="0.2">
      <c r="A476" s="131"/>
      <c r="B476" s="136"/>
      <c r="C476" s="135"/>
      <c r="D476" s="134"/>
      <c r="E476" s="133"/>
      <c r="N476" s="131"/>
      <c r="O476" s="136"/>
      <c r="P476" s="135"/>
      <c r="Q476" s="134"/>
      <c r="R476" s="133"/>
    </row>
    <row r="477" spans="1:18" x14ac:dyDescent="0.2">
      <c r="A477" s="131"/>
      <c r="B477" s="136"/>
      <c r="C477" s="135"/>
      <c r="D477" s="134"/>
      <c r="E477" s="133"/>
      <c r="N477" s="131"/>
      <c r="O477" s="136"/>
      <c r="P477" s="135"/>
      <c r="Q477" s="134"/>
      <c r="R477" s="133"/>
    </row>
    <row r="478" spans="1:18" x14ac:dyDescent="0.2">
      <c r="A478" s="131"/>
      <c r="B478" s="136"/>
      <c r="C478" s="135"/>
      <c r="D478" s="134"/>
      <c r="E478" s="133"/>
      <c r="N478" s="131"/>
      <c r="O478" s="136"/>
      <c r="P478" s="135"/>
      <c r="Q478" s="134"/>
      <c r="R478" s="133"/>
    </row>
    <row r="479" spans="1:18" x14ac:dyDescent="0.2">
      <c r="A479" s="131"/>
      <c r="B479" s="136"/>
      <c r="C479" s="135"/>
      <c r="D479" s="134"/>
      <c r="E479" s="133"/>
      <c r="N479" s="131"/>
      <c r="O479" s="136"/>
      <c r="P479" s="135"/>
      <c r="Q479" s="134"/>
      <c r="R479" s="133"/>
    </row>
    <row r="480" spans="1:18" x14ac:dyDescent="0.2">
      <c r="A480" s="131"/>
      <c r="B480" s="136"/>
      <c r="C480" s="135"/>
      <c r="D480" s="134"/>
      <c r="E480" s="133"/>
      <c r="N480" s="131"/>
      <c r="O480" s="136"/>
      <c r="P480" s="135"/>
      <c r="Q480" s="134"/>
      <c r="R480" s="133"/>
    </row>
    <row r="481" spans="1:18" x14ac:dyDescent="0.2">
      <c r="A481" s="131"/>
      <c r="B481" s="136"/>
      <c r="C481" s="135"/>
      <c r="D481" s="134"/>
      <c r="E481" s="133"/>
      <c r="N481" s="131"/>
      <c r="O481" s="136"/>
      <c r="P481" s="135"/>
      <c r="Q481" s="134"/>
      <c r="R481" s="133"/>
    </row>
    <row r="482" spans="1:18" x14ac:dyDescent="0.2">
      <c r="A482" s="131"/>
      <c r="B482" s="136"/>
      <c r="C482" s="135"/>
      <c r="D482" s="134"/>
      <c r="E482" s="133"/>
      <c r="N482" s="131"/>
      <c r="O482" s="136"/>
      <c r="P482" s="135"/>
      <c r="Q482" s="134"/>
      <c r="R482" s="133"/>
    </row>
    <row r="483" spans="1:18" x14ac:dyDescent="0.2">
      <c r="A483" s="131"/>
      <c r="B483" s="136"/>
      <c r="C483" s="135"/>
      <c r="D483" s="134"/>
      <c r="E483" s="133"/>
      <c r="N483" s="131"/>
      <c r="O483" s="136"/>
      <c r="P483" s="135"/>
      <c r="Q483" s="134"/>
      <c r="R483" s="133"/>
    </row>
    <row r="484" spans="1:18" x14ac:dyDescent="0.2">
      <c r="A484" s="131"/>
      <c r="B484" s="136"/>
      <c r="C484" s="135"/>
      <c r="D484" s="134"/>
      <c r="E484" s="133"/>
      <c r="N484" s="131"/>
      <c r="O484" s="136"/>
      <c r="P484" s="135"/>
      <c r="Q484" s="134"/>
      <c r="R484" s="133"/>
    </row>
    <row r="485" spans="1:18" x14ac:dyDescent="0.2">
      <c r="A485" s="131"/>
      <c r="B485" s="136"/>
      <c r="C485" s="135"/>
      <c r="D485" s="134"/>
      <c r="E485" s="133"/>
      <c r="N485" s="131"/>
      <c r="O485" s="136"/>
      <c r="P485" s="135"/>
      <c r="Q485" s="134"/>
      <c r="R485" s="133"/>
    </row>
    <row r="486" spans="1:18" x14ac:dyDescent="0.2">
      <c r="A486" s="131"/>
      <c r="B486" s="136"/>
      <c r="C486" s="135"/>
      <c r="D486" s="134"/>
      <c r="E486" s="133"/>
      <c r="N486" s="131"/>
      <c r="O486" s="136"/>
      <c r="P486" s="135"/>
      <c r="Q486" s="134"/>
      <c r="R486" s="133"/>
    </row>
    <row r="487" spans="1:18" x14ac:dyDescent="0.2">
      <c r="A487" s="131"/>
      <c r="B487" s="136"/>
      <c r="C487" s="135"/>
      <c r="D487" s="134"/>
      <c r="E487" s="133"/>
      <c r="N487" s="131"/>
      <c r="O487" s="136"/>
      <c r="P487" s="135"/>
      <c r="Q487" s="134"/>
      <c r="R487" s="133"/>
    </row>
    <row r="488" spans="1:18" x14ac:dyDescent="0.2">
      <c r="A488" s="131"/>
      <c r="B488" s="136"/>
      <c r="C488" s="135"/>
      <c r="D488" s="134"/>
      <c r="E488" s="133"/>
      <c r="N488" s="131"/>
      <c r="O488" s="136"/>
      <c r="P488" s="135"/>
      <c r="Q488" s="134"/>
      <c r="R488" s="133"/>
    </row>
    <row r="489" spans="1:18" x14ac:dyDescent="0.2">
      <c r="A489" s="131"/>
      <c r="B489" s="136"/>
      <c r="C489" s="135"/>
      <c r="D489" s="134"/>
      <c r="E489" s="133"/>
      <c r="N489" s="131"/>
      <c r="O489" s="136"/>
      <c r="P489" s="135"/>
      <c r="Q489" s="134"/>
      <c r="R489" s="133"/>
    </row>
    <row r="490" spans="1:18" x14ac:dyDescent="0.2">
      <c r="A490" s="131"/>
      <c r="B490" s="136"/>
      <c r="C490" s="135"/>
      <c r="D490" s="134"/>
      <c r="E490" s="133"/>
      <c r="N490" s="131"/>
      <c r="O490" s="136"/>
      <c r="P490" s="135"/>
      <c r="Q490" s="134"/>
      <c r="R490" s="133"/>
    </row>
    <row r="491" spans="1:18" x14ac:dyDescent="0.2">
      <c r="A491" s="131"/>
      <c r="B491" s="136"/>
      <c r="C491" s="135"/>
      <c r="D491" s="134"/>
      <c r="E491" s="133"/>
      <c r="N491" s="131"/>
      <c r="O491" s="136"/>
      <c r="P491" s="135"/>
      <c r="Q491" s="134"/>
      <c r="R491" s="133"/>
    </row>
    <row r="492" spans="1:18" x14ac:dyDescent="0.2">
      <c r="A492" s="131"/>
      <c r="B492" s="136"/>
      <c r="C492" s="135"/>
      <c r="D492" s="134"/>
      <c r="E492" s="133"/>
      <c r="N492" s="131"/>
      <c r="O492" s="136"/>
      <c r="P492" s="135"/>
      <c r="Q492" s="134"/>
      <c r="R492" s="133"/>
    </row>
    <row r="493" spans="1:18" x14ac:dyDescent="0.2">
      <c r="E493" s="133"/>
    </row>
    <row r="494" spans="1:18" x14ac:dyDescent="0.2">
      <c r="E494" s="133"/>
    </row>
    <row r="495" spans="1:18" x14ac:dyDescent="0.2">
      <c r="E495" s="133"/>
    </row>
    <row r="496" spans="1:18" x14ac:dyDescent="0.2">
      <c r="E496" s="133"/>
    </row>
    <row r="497" spans="5:5" s="131" customFormat="1" x14ac:dyDescent="0.2">
      <c r="E497" s="133"/>
    </row>
    <row r="498" spans="5:5" s="131" customFormat="1" x14ac:dyDescent="0.2">
      <c r="E498" s="133"/>
    </row>
    <row r="499" spans="5:5" s="131" customFormat="1" x14ac:dyDescent="0.2">
      <c r="E499" s="133"/>
    </row>
    <row r="500" spans="5:5" s="131" customFormat="1" x14ac:dyDescent="0.2">
      <c r="E500" s="133"/>
    </row>
    <row r="501" spans="5:5" s="131" customFormat="1" x14ac:dyDescent="0.2">
      <c r="E501" s="133"/>
    </row>
    <row r="502" spans="5:5" s="131" customFormat="1" x14ac:dyDescent="0.2">
      <c r="E502" s="133"/>
    </row>
    <row r="503" spans="5:5" s="131" customFormat="1" x14ac:dyDescent="0.2">
      <c r="E503" s="133"/>
    </row>
    <row r="504" spans="5:5" s="131" customFormat="1" x14ac:dyDescent="0.2">
      <c r="E504" s="133"/>
    </row>
    <row r="505" spans="5:5" s="131" customFormat="1" x14ac:dyDescent="0.2">
      <c r="E505" s="133"/>
    </row>
    <row r="506" spans="5:5" s="131" customFormat="1" x14ac:dyDescent="0.2">
      <c r="E506" s="133"/>
    </row>
    <row r="507" spans="5:5" s="131" customFormat="1" x14ac:dyDescent="0.2">
      <c r="E507" s="133"/>
    </row>
    <row r="508" spans="5:5" s="131" customFormat="1" x14ac:dyDescent="0.2">
      <c r="E508" s="133"/>
    </row>
    <row r="509" spans="5:5" s="131" customFormat="1" x14ac:dyDescent="0.2">
      <c r="E509" s="133"/>
    </row>
    <row r="510" spans="5:5" s="131" customFormat="1" x14ac:dyDescent="0.2">
      <c r="E510" s="133"/>
    </row>
    <row r="511" spans="5:5" s="131" customFormat="1" x14ac:dyDescent="0.2">
      <c r="E511" s="133"/>
    </row>
    <row r="512" spans="5:5" s="131" customFormat="1" x14ac:dyDescent="0.2">
      <c r="E512" s="133"/>
    </row>
    <row r="513" spans="5:5" s="131" customFormat="1" x14ac:dyDescent="0.2">
      <c r="E513" s="133"/>
    </row>
    <row r="514" spans="5:5" s="131" customFormat="1" x14ac:dyDescent="0.2">
      <c r="E514" s="133"/>
    </row>
    <row r="515" spans="5:5" s="131" customFormat="1" x14ac:dyDescent="0.2">
      <c r="E515" s="133"/>
    </row>
    <row r="516" spans="5:5" s="131" customFormat="1" x14ac:dyDescent="0.2">
      <c r="E516" s="133"/>
    </row>
    <row r="517" spans="5:5" s="131" customFormat="1" x14ac:dyDescent="0.2">
      <c r="E517" s="133"/>
    </row>
    <row r="518" spans="5:5" s="131" customFormat="1" x14ac:dyDescent="0.2">
      <c r="E518" s="133"/>
    </row>
    <row r="519" spans="5:5" s="131" customFormat="1" x14ac:dyDescent="0.2">
      <c r="E519" s="133"/>
    </row>
    <row r="520" spans="5:5" s="131" customFormat="1" x14ac:dyDescent="0.2">
      <c r="E520" s="133"/>
    </row>
    <row r="521" spans="5:5" s="131" customFormat="1" x14ac:dyDescent="0.2">
      <c r="E521" s="133"/>
    </row>
    <row r="522" spans="5:5" s="131" customFormat="1" x14ac:dyDescent="0.2">
      <c r="E522" s="133"/>
    </row>
    <row r="523" spans="5:5" s="131" customFormat="1" x14ac:dyDescent="0.2">
      <c r="E523" s="133"/>
    </row>
    <row r="524" spans="5:5" s="131" customFormat="1" x14ac:dyDescent="0.2">
      <c r="E524" s="133"/>
    </row>
    <row r="525" spans="5:5" s="131" customFormat="1" x14ac:dyDescent="0.2">
      <c r="E525" s="133"/>
    </row>
    <row r="526" spans="5:5" s="131" customFormat="1" x14ac:dyDescent="0.2">
      <c r="E526" s="133"/>
    </row>
    <row r="527" spans="5:5" s="131" customFormat="1" x14ac:dyDescent="0.2">
      <c r="E527" s="133"/>
    </row>
    <row r="528" spans="5:5" s="131" customFormat="1" x14ac:dyDescent="0.2">
      <c r="E528" s="133"/>
    </row>
  </sheetData>
  <pageMargins left="0.75" right="0.75" top="1" bottom="1" header="0.5" footer="0.5"/>
  <pageSetup paperSize="9" orientation="portrait" horizontalDpi="4294967292" verticalDpi="429496729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2"/>
  <sheetViews>
    <sheetView showGridLines="0" zoomScale="156" zoomScaleNormal="100" zoomScalePageLayoutView="150" workbookViewId="0">
      <selection activeCell="D4" sqref="D4:E32"/>
    </sheetView>
  </sheetViews>
  <sheetFormatPr baseColWidth="10" defaultColWidth="11.42578125" defaultRowHeight="14.25" x14ac:dyDescent="0.2"/>
  <cols>
    <col min="1" max="1" width="43.140625" style="69" bestFit="1" customWidth="1"/>
    <col min="2" max="2" width="16.42578125" style="69" bestFit="1" customWidth="1"/>
    <col min="3" max="3" width="11.42578125" style="69"/>
    <col min="4" max="4" width="43.140625" style="69" bestFit="1" customWidth="1"/>
    <col min="5" max="5" width="17" style="69" bestFit="1" customWidth="1"/>
    <col min="6" max="6" width="4" style="69" bestFit="1" customWidth="1"/>
    <col min="7" max="9" width="11.42578125" style="69"/>
    <col min="10" max="10" width="21.7109375" style="69" bestFit="1" customWidth="1"/>
    <col min="11" max="12" width="12" style="69" bestFit="1" customWidth="1"/>
    <col min="13" max="13" width="22" style="69" bestFit="1" customWidth="1"/>
    <col min="14" max="16384" width="11.42578125" style="69"/>
  </cols>
  <sheetData>
    <row r="1" spans="1:15" ht="26.25" x14ac:dyDescent="0.2">
      <c r="A1" s="288" t="s">
        <v>67</v>
      </c>
      <c r="B1" s="288"/>
      <c r="C1" s="288"/>
      <c r="D1" s="288"/>
      <c r="E1" s="288"/>
    </row>
    <row r="3" spans="1:15" s="70" customFormat="1" ht="15" x14ac:dyDescent="0.2">
      <c r="A3" s="289" t="s">
        <v>68</v>
      </c>
      <c r="B3" s="289"/>
      <c r="C3" s="69"/>
      <c r="D3" s="289" t="s">
        <v>69</v>
      </c>
      <c r="E3" s="289"/>
    </row>
    <row r="4" spans="1:15" x14ac:dyDescent="0.2">
      <c r="A4" s="71" t="s">
        <v>5</v>
      </c>
      <c r="B4" s="72">
        <v>48152</v>
      </c>
      <c r="D4" s="71" t="s">
        <v>5</v>
      </c>
      <c r="E4" s="72">
        <f>+B4</f>
        <v>48152</v>
      </c>
    </row>
    <row r="5" spans="1:15" x14ac:dyDescent="0.2">
      <c r="A5" s="71" t="s">
        <v>0</v>
      </c>
      <c r="B5" s="73">
        <v>5.0000000000000001E-3</v>
      </c>
      <c r="D5" s="71" t="s">
        <v>0</v>
      </c>
      <c r="E5" s="73">
        <f>+B5</f>
        <v>5.0000000000000001E-3</v>
      </c>
    </row>
    <row r="6" spans="1:15" x14ac:dyDescent="0.2">
      <c r="A6" s="74" t="s">
        <v>36</v>
      </c>
      <c r="B6" s="72">
        <v>44519</v>
      </c>
      <c r="D6" s="74" t="s">
        <v>36</v>
      </c>
      <c r="E6" s="72">
        <f>+B6</f>
        <v>44519</v>
      </c>
    </row>
    <row r="7" spans="1:15" x14ac:dyDescent="0.2">
      <c r="A7" s="75" t="s">
        <v>37</v>
      </c>
      <c r="B7" s="117">
        <v>1.0051049999999999</v>
      </c>
      <c r="D7" s="75" t="s">
        <v>37</v>
      </c>
      <c r="E7" s="73">
        <v>1.00505</v>
      </c>
    </row>
    <row r="8" spans="1:15" x14ac:dyDescent="0.2">
      <c r="A8" s="69" t="s">
        <v>39</v>
      </c>
      <c r="B8" s="76">
        <f>WORKDAY(B6,2)</f>
        <v>44523</v>
      </c>
      <c r="D8" s="69" t="s">
        <v>39</v>
      </c>
      <c r="E8" s="76">
        <f>WORKDAY(E6,2)</f>
        <v>44523</v>
      </c>
    </row>
    <row r="9" spans="1:15" ht="18.75" x14ac:dyDescent="0.2">
      <c r="A9" s="75" t="s">
        <v>70</v>
      </c>
      <c r="B9" s="111">
        <v>-3.5187500000000002E-3</v>
      </c>
      <c r="D9" s="75" t="s">
        <v>70</v>
      </c>
      <c r="E9" s="110">
        <v>-4.1373900000000003E-3</v>
      </c>
    </row>
    <row r="10" spans="1:15" ht="18.75" x14ac:dyDescent="0.2">
      <c r="A10" s="75" t="s">
        <v>71</v>
      </c>
      <c r="B10" s="75">
        <v>42</v>
      </c>
      <c r="D10" s="75" t="s">
        <v>72</v>
      </c>
      <c r="E10" s="110">
        <f>+E9</f>
        <v>-4.1373900000000003E-3</v>
      </c>
    </row>
    <row r="11" spans="1:15" x14ac:dyDescent="0.2">
      <c r="D11" s="75" t="s">
        <v>71</v>
      </c>
      <c r="E11" s="75">
        <f>+E12-E8</f>
        <v>351</v>
      </c>
    </row>
    <row r="12" spans="1:15" x14ac:dyDescent="0.2">
      <c r="A12" s="69" t="s">
        <v>73</v>
      </c>
      <c r="B12" s="77">
        <f>+B8+B10</f>
        <v>44565</v>
      </c>
      <c r="D12" s="69" t="s">
        <v>73</v>
      </c>
      <c r="E12" s="76">
        <v>44874</v>
      </c>
    </row>
    <row r="13" spans="1:15" x14ac:dyDescent="0.2">
      <c r="O13" s="78"/>
    </row>
    <row r="14" spans="1:15" x14ac:dyDescent="0.2">
      <c r="A14" s="69" t="s">
        <v>45</v>
      </c>
      <c r="D14" s="69" t="s">
        <v>45</v>
      </c>
      <c r="O14" s="78"/>
    </row>
    <row r="15" spans="1:15" x14ac:dyDescent="0.2">
      <c r="A15" s="74" t="s">
        <v>41</v>
      </c>
      <c r="B15" s="72">
        <f>COUPPCD(B8,B4,1,1)</f>
        <v>44500</v>
      </c>
      <c r="D15" s="74" t="s">
        <v>41</v>
      </c>
      <c r="E15" s="72">
        <f>+B15</f>
        <v>44500</v>
      </c>
      <c r="O15" s="78"/>
    </row>
    <row r="16" spans="1:15" x14ac:dyDescent="0.2">
      <c r="A16" s="74" t="s">
        <v>42</v>
      </c>
      <c r="B16" s="72">
        <f>COUPNCD(B8,B4,1,1)</f>
        <v>44865</v>
      </c>
      <c r="D16" s="74" t="s">
        <v>42</v>
      </c>
      <c r="E16" s="72">
        <f>+B16</f>
        <v>44865</v>
      </c>
      <c r="N16" s="79"/>
      <c r="O16" s="78"/>
    </row>
    <row r="17" spans="1:15" ht="15.75" x14ac:dyDescent="0.25">
      <c r="A17" s="80" t="s">
        <v>74</v>
      </c>
      <c r="B17" s="81" t="str">
        <f>IF(B12&gt;B16,"Si","No")</f>
        <v>No</v>
      </c>
      <c r="D17" s="74" t="s">
        <v>75</v>
      </c>
      <c r="E17" s="72">
        <f>EDATE(E16,12)</f>
        <v>45230</v>
      </c>
      <c r="N17" s="79"/>
      <c r="O17" s="78"/>
    </row>
    <row r="18" spans="1:15" ht="15.75" x14ac:dyDescent="0.25">
      <c r="D18" s="80" t="s">
        <v>74</v>
      </c>
      <c r="E18" s="81" t="str">
        <f>IF(E12&gt;E16,"Si","No")</f>
        <v>Si</v>
      </c>
      <c r="N18" s="79"/>
      <c r="O18" s="78"/>
    </row>
    <row r="19" spans="1:15" x14ac:dyDescent="0.2">
      <c r="A19" s="69" t="s">
        <v>44</v>
      </c>
      <c r="B19" s="69">
        <f>B8-B15</f>
        <v>23</v>
      </c>
      <c r="N19" s="79"/>
      <c r="O19" s="78"/>
    </row>
    <row r="20" spans="1:15" x14ac:dyDescent="0.2">
      <c r="A20" s="69" t="s">
        <v>46</v>
      </c>
      <c r="B20" s="69">
        <f>B16-B8</f>
        <v>342</v>
      </c>
      <c r="D20" s="69" t="s">
        <v>44</v>
      </c>
      <c r="E20" s="69">
        <f>E8-E15</f>
        <v>23</v>
      </c>
      <c r="O20" s="78"/>
    </row>
    <row r="21" spans="1:15" x14ac:dyDescent="0.2">
      <c r="A21" s="69" t="s">
        <v>48</v>
      </c>
      <c r="B21" s="69">
        <f>SUM(B19:B20)</f>
        <v>365</v>
      </c>
      <c r="D21" s="69" t="s">
        <v>46</v>
      </c>
      <c r="E21" s="69">
        <f>E16-E8</f>
        <v>342</v>
      </c>
      <c r="O21" s="78"/>
    </row>
    <row r="22" spans="1:15" x14ac:dyDescent="0.2">
      <c r="A22" s="69" t="s">
        <v>51</v>
      </c>
      <c r="B22" s="82">
        <f>B19/B21</f>
        <v>6.3013698630136991E-2</v>
      </c>
      <c r="D22" s="69" t="s">
        <v>48</v>
      </c>
      <c r="E22" s="69">
        <f>SUM(E20:E21)</f>
        <v>365</v>
      </c>
      <c r="O22" s="78"/>
    </row>
    <row r="23" spans="1:15" x14ac:dyDescent="0.2">
      <c r="A23" s="69" t="s">
        <v>76</v>
      </c>
      <c r="B23" s="112">
        <f>B5*B19/B21</f>
        <v>3.1506849315068495E-4</v>
      </c>
      <c r="D23" s="69" t="s">
        <v>77</v>
      </c>
      <c r="E23" s="82">
        <f>E20/E22</f>
        <v>6.3013698630136991E-2</v>
      </c>
      <c r="O23" s="78"/>
    </row>
    <row r="24" spans="1:15" x14ac:dyDescent="0.2">
      <c r="A24" s="69" t="s">
        <v>78</v>
      </c>
      <c r="B24" s="83">
        <f>B7+B23</f>
        <v>1.0054200684931507</v>
      </c>
      <c r="D24" s="69" t="s">
        <v>76</v>
      </c>
      <c r="E24" s="83">
        <f>E5*E23</f>
        <v>3.1506849315068495E-4</v>
      </c>
      <c r="O24" s="78"/>
    </row>
    <row r="25" spans="1:15" x14ac:dyDescent="0.2">
      <c r="A25" s="69" t="s">
        <v>79</v>
      </c>
      <c r="B25" s="69">
        <f>B12-B15</f>
        <v>65</v>
      </c>
      <c r="D25" s="69" t="s">
        <v>78</v>
      </c>
      <c r="E25" s="83">
        <f>E7+E24</f>
        <v>1.0053650684931508</v>
      </c>
      <c r="O25" s="78"/>
    </row>
    <row r="26" spans="1:15" x14ac:dyDescent="0.2">
      <c r="A26" s="69" t="s">
        <v>80</v>
      </c>
      <c r="B26" s="84">
        <f>B5*(B25)/B21</f>
        <v>8.9041095890410966E-4</v>
      </c>
      <c r="D26" s="69" t="s">
        <v>79</v>
      </c>
      <c r="E26" s="69">
        <f>E12-E16</f>
        <v>9</v>
      </c>
    </row>
    <row r="27" spans="1:15" x14ac:dyDescent="0.2">
      <c r="B27" s="84"/>
      <c r="D27" s="69" t="s">
        <v>81</v>
      </c>
      <c r="E27" s="69">
        <f>E17-E12</f>
        <v>356</v>
      </c>
    </row>
    <row r="28" spans="1:15" x14ac:dyDescent="0.2">
      <c r="B28" s="84"/>
      <c r="D28" s="69" t="s">
        <v>48</v>
      </c>
      <c r="E28" s="69">
        <f>E27+E26</f>
        <v>365</v>
      </c>
    </row>
    <row r="29" spans="1:15" x14ac:dyDescent="0.2">
      <c r="B29" s="84"/>
      <c r="D29" s="69" t="s">
        <v>82</v>
      </c>
      <c r="E29" s="82">
        <f>E26/E28</f>
        <v>2.4657534246575342E-2</v>
      </c>
    </row>
    <row r="30" spans="1:15" x14ac:dyDescent="0.2">
      <c r="B30" s="84"/>
      <c r="D30" s="69" t="s">
        <v>80</v>
      </c>
      <c r="E30" s="83">
        <f>E5*E29</f>
        <v>1.2328767123287671E-4</v>
      </c>
    </row>
    <row r="32" spans="1:15" ht="15.75" x14ac:dyDescent="0.2">
      <c r="A32" s="85" t="s">
        <v>83</v>
      </c>
      <c r="B32" s="86">
        <f>B24*(1+B9*B10/B21)-B26</f>
        <v>1.0041225657030892</v>
      </c>
      <c r="D32" s="85" t="s">
        <v>83</v>
      </c>
      <c r="E32" s="86">
        <f>E25*(1+E9*E11/E28)-E30-(E5*(1+E10*E29))</f>
        <v>0.99624224934770633</v>
      </c>
    </row>
  </sheetData>
  <mergeCells count="3">
    <mergeCell ref="A1:E1"/>
    <mergeCell ref="A3:B3"/>
    <mergeCell ref="D3:E3"/>
  </mergeCells>
  <pageMargins left="0.75" right="0.75" top="1" bottom="1" header="0.5" footer="0.5"/>
  <pageSetup paperSize="9" orientation="portrait" horizontalDpi="4294967292" verticalDpi="429496729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CDE24-DC9A-4342-BF82-5187E83DFC37}">
  <dimension ref="A2:AC69"/>
  <sheetViews>
    <sheetView showGridLines="0" workbookViewId="0">
      <selection activeCell="M2" sqref="M2"/>
    </sheetView>
  </sheetViews>
  <sheetFormatPr baseColWidth="10" defaultColWidth="10.85546875" defaultRowHeight="15" x14ac:dyDescent="0.2"/>
  <cols>
    <col min="1" max="1" width="16.7109375" style="141" bestFit="1" customWidth="1"/>
    <col min="2" max="9" width="11.140625" style="141" bestFit="1" customWidth="1"/>
    <col min="10" max="11" width="10.42578125" style="141" bestFit="1" customWidth="1"/>
    <col min="12" max="12" width="9.85546875" style="141" bestFit="1" customWidth="1"/>
    <col min="13" max="13" width="13.85546875" style="141" bestFit="1" customWidth="1"/>
    <col min="14" max="14" width="10.85546875" style="141"/>
    <col min="15" max="15" width="9.7109375" style="141" bestFit="1" customWidth="1"/>
    <col min="16" max="26" width="10.7109375" style="141" bestFit="1" customWidth="1"/>
    <col min="27" max="16384" width="10.85546875" style="141"/>
  </cols>
  <sheetData>
    <row r="2" spans="1:29" ht="15.75" x14ac:dyDescent="0.2">
      <c r="A2" s="154" t="s">
        <v>132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3">
        <f ca="1">EDATE(TODAY(),12*A6)</f>
        <v>46059</v>
      </c>
    </row>
    <row r="3" spans="1:29" ht="15.75" x14ac:dyDescent="0.25">
      <c r="A3" s="149" t="s">
        <v>124</v>
      </c>
      <c r="B3" s="149" t="s">
        <v>123</v>
      </c>
      <c r="C3" s="152">
        <v>1E-4</v>
      </c>
      <c r="D3" s="150">
        <v>0.01</v>
      </c>
      <c r="E3" s="150">
        <v>0.02</v>
      </c>
      <c r="F3" s="150">
        <v>0.03</v>
      </c>
      <c r="G3" s="150">
        <v>0.04</v>
      </c>
      <c r="H3" s="151">
        <v>0.05</v>
      </c>
      <c r="I3" s="150">
        <v>0.06</v>
      </c>
      <c r="J3" s="150">
        <v>7.0000000000000007E-2</v>
      </c>
      <c r="K3" s="150">
        <v>0.08</v>
      </c>
      <c r="L3" s="150">
        <v>0.09</v>
      </c>
      <c r="M3" s="150">
        <v>0.1</v>
      </c>
      <c r="O3" s="157" t="s">
        <v>3</v>
      </c>
      <c r="P3" s="159">
        <f t="shared" ref="P3:Z3" si="0">+C3</f>
        <v>1E-4</v>
      </c>
      <c r="Q3" s="159">
        <f t="shared" si="0"/>
        <v>0.01</v>
      </c>
      <c r="R3" s="159">
        <f t="shared" si="0"/>
        <v>0.02</v>
      </c>
      <c r="S3" s="159">
        <f t="shared" si="0"/>
        <v>0.03</v>
      </c>
      <c r="T3" s="159">
        <f t="shared" si="0"/>
        <v>0.04</v>
      </c>
      <c r="U3" s="159">
        <f t="shared" si="0"/>
        <v>0.05</v>
      </c>
      <c r="V3" s="159">
        <f t="shared" si="0"/>
        <v>0.06</v>
      </c>
      <c r="W3" s="159">
        <f t="shared" si="0"/>
        <v>7.0000000000000007E-2</v>
      </c>
      <c r="X3" s="159">
        <f t="shared" si="0"/>
        <v>0.08</v>
      </c>
      <c r="Y3" s="159">
        <f t="shared" si="0"/>
        <v>0.09</v>
      </c>
      <c r="Z3" s="159">
        <f t="shared" si="0"/>
        <v>0.1</v>
      </c>
      <c r="AA3" s="158"/>
      <c r="AB3" s="158"/>
      <c r="AC3" s="158"/>
    </row>
    <row r="4" spans="1:29" ht="15.75" x14ac:dyDescent="0.25">
      <c r="A4" s="149">
        <v>1</v>
      </c>
      <c r="B4" s="148">
        <v>0.05</v>
      </c>
      <c r="C4" s="146">
        <f t="shared" ref="C4:M6" si="1">$B4/(1+C$3)^$A4</f>
        <v>4.999500049995001E-2</v>
      </c>
      <c r="D4" s="146">
        <f t="shared" si="1"/>
        <v>4.9504950495049507E-2</v>
      </c>
      <c r="E4" s="146">
        <f t="shared" si="1"/>
        <v>4.9019607843137254E-2</v>
      </c>
      <c r="F4" s="146">
        <f t="shared" si="1"/>
        <v>4.8543689320388349E-2</v>
      </c>
      <c r="G4" s="146">
        <f t="shared" si="1"/>
        <v>4.807692307692308E-2</v>
      </c>
      <c r="H4" s="147">
        <f t="shared" si="1"/>
        <v>4.7619047619047616E-2</v>
      </c>
      <c r="I4" s="146">
        <f t="shared" si="1"/>
        <v>4.716981132075472E-2</v>
      </c>
      <c r="J4" s="146">
        <f t="shared" si="1"/>
        <v>4.6728971962616821E-2</v>
      </c>
      <c r="K4" s="146">
        <f t="shared" si="1"/>
        <v>4.6296296296296294E-2</v>
      </c>
      <c r="L4" s="146">
        <f t="shared" si="1"/>
        <v>4.5871559633027525E-2</v>
      </c>
      <c r="M4" s="146">
        <f t="shared" si="1"/>
        <v>4.5454545454545456E-2</v>
      </c>
      <c r="O4" s="157" t="s">
        <v>131</v>
      </c>
      <c r="P4" s="156">
        <f t="shared" ref="P4:Z4" ca="1" si="2">DURATION(TODAY(),$M2,0.06,P$3,1,1)</f>
        <v>2.8474345297203425</v>
      </c>
      <c r="Q4" s="156">
        <f t="shared" ca="1" si="2"/>
        <v>2.8451420960800671</v>
      </c>
      <c r="R4" s="156">
        <f t="shared" ca="1" si="2"/>
        <v>2.8428149479902403</v>
      </c>
      <c r="S4" s="156">
        <f t="shared" ca="1" si="2"/>
        <v>2.8404763069676258</v>
      </c>
      <c r="T4" s="156">
        <f t="shared" ca="1" si="2"/>
        <v>2.8381262970649277</v>
      </c>
      <c r="U4" s="156">
        <f t="shared" ca="1" si="2"/>
        <v>2.8357650422570742</v>
      </c>
      <c r="V4" s="156">
        <f t="shared" ca="1" si="2"/>
        <v>2.8333926664293339</v>
      </c>
      <c r="W4" s="156">
        <f t="shared" ca="1" si="2"/>
        <v>2.831009293365546</v>
      </c>
      <c r="X4" s="156">
        <f t="shared" ca="1" si="2"/>
        <v>2.8286150467364815</v>
      </c>
      <c r="Y4" s="156">
        <f t="shared" ca="1" si="2"/>
        <v>2.8262100500883274</v>
      </c>
      <c r="Z4" s="156">
        <f t="shared" ca="1" si="2"/>
        <v>2.8237944268313031</v>
      </c>
    </row>
    <row r="5" spans="1:29" ht="15.75" x14ac:dyDescent="0.25">
      <c r="A5" s="149">
        <v>2</v>
      </c>
      <c r="B5" s="148">
        <f>+B4</f>
        <v>0.05</v>
      </c>
      <c r="C5" s="146">
        <f t="shared" si="1"/>
        <v>4.9990001499800034E-2</v>
      </c>
      <c r="D5" s="146">
        <f t="shared" si="1"/>
        <v>4.901480247034605E-2</v>
      </c>
      <c r="E5" s="146">
        <f t="shared" si="1"/>
        <v>4.8058439061899272E-2</v>
      </c>
      <c r="F5" s="146">
        <f t="shared" si="1"/>
        <v>4.7129795456687724E-2</v>
      </c>
      <c r="G5" s="146">
        <f t="shared" si="1"/>
        <v>4.6227810650887574E-2</v>
      </c>
      <c r="H5" s="147">
        <f t="shared" si="1"/>
        <v>4.5351473922902494E-2</v>
      </c>
      <c r="I5" s="146">
        <f t="shared" si="1"/>
        <v>4.4499822000711994E-2</v>
      </c>
      <c r="J5" s="146">
        <f t="shared" si="1"/>
        <v>4.3671936413660586E-2</v>
      </c>
      <c r="K5" s="146">
        <f t="shared" si="1"/>
        <v>4.2866941015089165E-2</v>
      </c>
      <c r="L5" s="146">
        <f t="shared" si="1"/>
        <v>4.2083999663328001E-2</v>
      </c>
      <c r="M5" s="146">
        <f t="shared" si="1"/>
        <v>4.1322314049586771E-2</v>
      </c>
      <c r="O5" s="157" t="s">
        <v>130</v>
      </c>
      <c r="P5" s="156">
        <f t="shared" ref="P5:Z5" ca="1" si="3">DURATION(TODAY(),$M10,0.06,P$3,1,1)</f>
        <v>4.5383443700820978</v>
      </c>
      <c r="Q5" s="156">
        <f t="shared" ca="1" si="3"/>
        <v>4.5266595714485813</v>
      </c>
      <c r="R5" s="156">
        <f t="shared" ca="1" si="3"/>
        <v>4.5146863462566147</v>
      </c>
      <c r="S5" s="156">
        <f t="shared" ca="1" si="3"/>
        <v>4.5025430242373483</v>
      </c>
      <c r="T5" s="156">
        <f t="shared" ca="1" si="3"/>
        <v>4.4902308684547938</v>
      </c>
      <c r="U5" s="156">
        <f t="shared" ca="1" si="3"/>
        <v>4.4777512430879982</v>
      </c>
      <c r="V5" s="156">
        <f t="shared" ca="1" si="3"/>
        <v>4.4651056126996558</v>
      </c>
      <c r="W5" s="156">
        <f t="shared" ca="1" si="3"/>
        <v>4.4522955413712397</v>
      </c>
      <c r="X5" s="156">
        <f t="shared" ca="1" si="3"/>
        <v>4.4393226917054589</v>
      </c>
      <c r="Y5" s="156">
        <f t="shared" ca="1" si="3"/>
        <v>4.4261888236973146</v>
      </c>
      <c r="Z5" s="156">
        <f t="shared" ca="1" si="3"/>
        <v>4.4128957934752533</v>
      </c>
    </row>
    <row r="6" spans="1:29" ht="15.75" x14ac:dyDescent="0.25">
      <c r="A6" s="149">
        <v>3</v>
      </c>
      <c r="B6" s="148">
        <f>1+B5</f>
        <v>1.05</v>
      </c>
      <c r="C6" s="146">
        <f t="shared" si="1"/>
        <v>1.0496850629895018</v>
      </c>
      <c r="D6" s="146">
        <f t="shared" si="1"/>
        <v>1.0191196553240267</v>
      </c>
      <c r="E6" s="146">
        <f t="shared" si="1"/>
        <v>0.98943845127439678</v>
      </c>
      <c r="F6" s="146">
        <f t="shared" si="1"/>
        <v>0.96089874232081762</v>
      </c>
      <c r="G6" s="146">
        <f t="shared" si="1"/>
        <v>0.93344617660446061</v>
      </c>
      <c r="H6" s="147">
        <f t="shared" si="1"/>
        <v>0.90702947845804982</v>
      </c>
      <c r="I6" s="146">
        <f t="shared" si="1"/>
        <v>0.88160024718391672</v>
      </c>
      <c r="J6" s="146">
        <f t="shared" si="1"/>
        <v>0.8571127707353946</v>
      </c>
      <c r="K6" s="146">
        <f t="shared" si="1"/>
        <v>0.83352385307117804</v>
      </c>
      <c r="L6" s="146">
        <f t="shared" si="1"/>
        <v>0.81079265406411738</v>
      </c>
      <c r="M6" s="146">
        <f t="shared" si="1"/>
        <v>0.78888054094665649</v>
      </c>
      <c r="O6" s="157" t="s">
        <v>129</v>
      </c>
      <c r="P6" s="156">
        <f t="shared" ref="P6:Z6" ca="1" si="4">DURATION(TODAY(),$M20,0.06,P$3,1,1)</f>
        <v>8.3117158976169261</v>
      </c>
      <c r="Q6" s="156">
        <f t="shared" ca="1" si="4"/>
        <v>8.2329288876674784</v>
      </c>
      <c r="R6" s="156">
        <f t="shared" ca="1" si="4"/>
        <v>8.1510456896987868</v>
      </c>
      <c r="S6" s="156">
        <f t="shared" ca="1" si="4"/>
        <v>8.0669078802638712</v>
      </c>
      <c r="T6" s="156">
        <f t="shared" ca="1" si="4"/>
        <v>7.9805830277357632</v>
      </c>
      <c r="U6" s="156">
        <f t="shared" ca="1" si="4"/>
        <v>7.8921487007985753</v>
      </c>
      <c r="V6" s="156">
        <f t="shared" ca="1" si="4"/>
        <v>7.8016922744995778</v>
      </c>
      <c r="W6" s="156">
        <f t="shared" ca="1" si="4"/>
        <v>7.7093106349977845</v>
      </c>
      <c r="X6" s="156">
        <f t="shared" ca="1" si="4"/>
        <v>7.615109783543299</v>
      </c>
      <c r="Y6" s="156">
        <f t="shared" ca="1" si="4"/>
        <v>7.51920434206842</v>
      </c>
      <c r="Z6" s="156">
        <f t="shared" ca="1" si="4"/>
        <v>7.4217169646324583</v>
      </c>
    </row>
    <row r="7" spans="1:29" ht="15.75" x14ac:dyDescent="0.25">
      <c r="A7" s="290" t="s">
        <v>122</v>
      </c>
      <c r="B7" s="290"/>
      <c r="C7" s="145">
        <f t="shared" ref="C7:M7" si="5">SUM(C4:C6)</f>
        <v>1.1496700649892519</v>
      </c>
      <c r="D7" s="145">
        <f t="shared" si="5"/>
        <v>1.1176394082894223</v>
      </c>
      <c r="E7" s="145">
        <f t="shared" si="5"/>
        <v>1.0865164981794333</v>
      </c>
      <c r="F7" s="145">
        <f t="shared" si="5"/>
        <v>1.0565722270978937</v>
      </c>
      <c r="G7" s="145">
        <f t="shared" si="5"/>
        <v>1.0277509103322713</v>
      </c>
      <c r="H7" s="147">
        <f t="shared" si="5"/>
        <v>0.99999999999999989</v>
      </c>
      <c r="I7" s="145">
        <f t="shared" si="5"/>
        <v>0.97326988050538343</v>
      </c>
      <c r="J7" s="145">
        <f t="shared" si="5"/>
        <v>0.94751367911167206</v>
      </c>
      <c r="K7" s="145">
        <f t="shared" si="5"/>
        <v>0.92268709038256347</v>
      </c>
      <c r="L7" s="145">
        <f t="shared" si="5"/>
        <v>0.89874821336047295</v>
      </c>
      <c r="M7" s="145">
        <f t="shared" si="5"/>
        <v>0.87565740045078866</v>
      </c>
      <c r="O7" s="157" t="s">
        <v>128</v>
      </c>
      <c r="P7" s="156">
        <f t="shared" ref="P7:Z7" ca="1" si="6">DURATION(TODAY(),$M35,0.06,P$3,1,1)</f>
        <v>20.668925931789268</v>
      </c>
      <c r="Q7" s="156">
        <f t="shared" ca="1" si="6"/>
        <v>19.693748456061126</v>
      </c>
      <c r="R7" s="156">
        <f t="shared" ca="1" si="6"/>
        <v>18.6769771260503</v>
      </c>
      <c r="S7" s="156">
        <f t="shared" ca="1" si="6"/>
        <v>17.64299294248308</v>
      </c>
      <c r="T7" s="156">
        <f t="shared" ca="1" si="6"/>
        <v>16.607309092274505</v>
      </c>
      <c r="U7" s="156">
        <f t="shared" ca="1" si="6"/>
        <v>15.585196848897214</v>
      </c>
      <c r="V7" s="156">
        <f t="shared" ca="1" si="6"/>
        <v>14.590721020578787</v>
      </c>
      <c r="W7" s="156">
        <f t="shared" ca="1" si="6"/>
        <v>13.635956926934956</v>
      </c>
      <c r="X7" s="156">
        <f t="shared" ca="1" si="6"/>
        <v>12.730472535193673</v>
      </c>
      <c r="Y7" s="156">
        <f t="shared" ca="1" si="6"/>
        <v>11.881103802779007</v>
      </c>
      <c r="Z7" s="156">
        <f t="shared" ca="1" si="6"/>
        <v>11.091999355522194</v>
      </c>
    </row>
    <row r="8" spans="1:29" ht="15.75" x14ac:dyDescent="0.2">
      <c r="A8" s="290" t="s">
        <v>121</v>
      </c>
      <c r="B8" s="290"/>
      <c r="C8" s="143">
        <f>+C7-D7</f>
        <v>3.2030656699829629E-2</v>
      </c>
      <c r="D8" s="143">
        <f>+D7-E7</f>
        <v>3.1122910109989022E-2</v>
      </c>
      <c r="E8" s="143">
        <f>+E7-F7</f>
        <v>2.9944271081539631E-2</v>
      </c>
      <c r="F8" s="143">
        <f>+F7-G7</f>
        <v>2.8821316765622385E-2</v>
      </c>
      <c r="G8" s="143">
        <f>+G7-H7</f>
        <v>2.7750910332271395E-2</v>
      </c>
      <c r="H8" s="144">
        <f>+H7-H7</f>
        <v>0</v>
      </c>
      <c r="I8" s="143">
        <f>+I7-H7</f>
        <v>-2.6730119494616456E-2</v>
      </c>
      <c r="J8" s="143">
        <f>+J7-I7</f>
        <v>-2.5756201393711375E-2</v>
      </c>
      <c r="K8" s="143">
        <f>+K7-J7</f>
        <v>-2.482658872910859E-2</v>
      </c>
      <c r="L8" s="143">
        <f>+L7-K7</f>
        <v>-2.3938877022090521E-2</v>
      </c>
      <c r="M8" s="143">
        <f>+M7-L7</f>
        <v>-2.3090812909684288E-2</v>
      </c>
    </row>
    <row r="9" spans="1:29" ht="15.95" x14ac:dyDescent="0.2">
      <c r="A9" s="155"/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</row>
    <row r="10" spans="1:29" ht="15.75" x14ac:dyDescent="0.2">
      <c r="A10" s="154" t="s">
        <v>127</v>
      </c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3">
        <f ca="1">EDATE(TODAY(),12*A16)</f>
        <v>46789</v>
      </c>
    </row>
    <row r="11" spans="1:29" ht="15.75" x14ac:dyDescent="0.2">
      <c r="A11" s="149" t="s">
        <v>124</v>
      </c>
      <c r="B11" s="149" t="s">
        <v>123</v>
      </c>
      <c r="C11" s="152">
        <v>1E-4</v>
      </c>
      <c r="D11" s="150">
        <v>0.01</v>
      </c>
      <c r="E11" s="150">
        <v>0.02</v>
      </c>
      <c r="F11" s="150">
        <v>0.03</v>
      </c>
      <c r="G11" s="150">
        <v>0.04</v>
      </c>
      <c r="H11" s="151">
        <v>0.05</v>
      </c>
      <c r="I11" s="150">
        <v>0.06</v>
      </c>
      <c r="J11" s="150">
        <v>7.0000000000000007E-2</v>
      </c>
      <c r="K11" s="150">
        <v>0.08</v>
      </c>
      <c r="L11" s="150">
        <v>0.09</v>
      </c>
      <c r="M11" s="150">
        <v>0.1</v>
      </c>
    </row>
    <row r="12" spans="1:29" ht="15.75" x14ac:dyDescent="0.2">
      <c r="A12" s="149">
        <v>1</v>
      </c>
      <c r="B12" s="148">
        <v>0.05</v>
      </c>
      <c r="C12" s="146">
        <f t="shared" ref="C12:M16" si="7">$B12/(1+C$3)^$A12</f>
        <v>4.999500049995001E-2</v>
      </c>
      <c r="D12" s="146">
        <f t="shared" si="7"/>
        <v>4.9504950495049507E-2</v>
      </c>
      <c r="E12" s="146">
        <f t="shared" si="7"/>
        <v>4.9019607843137254E-2</v>
      </c>
      <c r="F12" s="146">
        <f t="shared" si="7"/>
        <v>4.8543689320388349E-2</v>
      </c>
      <c r="G12" s="146">
        <f t="shared" si="7"/>
        <v>4.807692307692308E-2</v>
      </c>
      <c r="H12" s="147">
        <f t="shared" si="7"/>
        <v>4.7619047619047616E-2</v>
      </c>
      <c r="I12" s="146">
        <f t="shared" si="7"/>
        <v>4.716981132075472E-2</v>
      </c>
      <c r="J12" s="146">
        <f t="shared" si="7"/>
        <v>4.6728971962616821E-2</v>
      </c>
      <c r="K12" s="146">
        <f t="shared" si="7"/>
        <v>4.6296296296296294E-2</v>
      </c>
      <c r="L12" s="146">
        <f t="shared" si="7"/>
        <v>4.5871559633027525E-2</v>
      </c>
      <c r="M12" s="146">
        <f t="shared" si="7"/>
        <v>4.5454545454545456E-2</v>
      </c>
    </row>
    <row r="13" spans="1:29" ht="15.75" x14ac:dyDescent="0.2">
      <c r="A13" s="149">
        <v>2</v>
      </c>
      <c r="B13" s="148">
        <f>+B12</f>
        <v>0.05</v>
      </c>
      <c r="C13" s="146">
        <f t="shared" si="7"/>
        <v>4.9990001499800034E-2</v>
      </c>
      <c r="D13" s="146">
        <f t="shared" si="7"/>
        <v>4.901480247034605E-2</v>
      </c>
      <c r="E13" s="146">
        <f t="shared" si="7"/>
        <v>4.8058439061899272E-2</v>
      </c>
      <c r="F13" s="146">
        <f t="shared" si="7"/>
        <v>4.7129795456687724E-2</v>
      </c>
      <c r="G13" s="146">
        <f t="shared" si="7"/>
        <v>4.6227810650887574E-2</v>
      </c>
      <c r="H13" s="147">
        <f t="shared" si="7"/>
        <v>4.5351473922902494E-2</v>
      </c>
      <c r="I13" s="146">
        <f t="shared" si="7"/>
        <v>4.4499822000711994E-2</v>
      </c>
      <c r="J13" s="146">
        <f t="shared" si="7"/>
        <v>4.3671936413660586E-2</v>
      </c>
      <c r="K13" s="146">
        <f t="shared" si="7"/>
        <v>4.2866941015089165E-2</v>
      </c>
      <c r="L13" s="146">
        <f t="shared" si="7"/>
        <v>4.2083999663328001E-2</v>
      </c>
      <c r="M13" s="146">
        <f t="shared" si="7"/>
        <v>4.1322314049586771E-2</v>
      </c>
    </row>
    <row r="14" spans="1:29" ht="15.75" x14ac:dyDescent="0.2">
      <c r="A14" s="149">
        <v>3</v>
      </c>
      <c r="B14" s="148">
        <f>+B13</f>
        <v>0.05</v>
      </c>
      <c r="C14" s="146">
        <f t="shared" si="7"/>
        <v>4.9985002999500087E-2</v>
      </c>
      <c r="D14" s="146">
        <f t="shared" si="7"/>
        <v>4.8529507396382232E-2</v>
      </c>
      <c r="E14" s="146">
        <f t="shared" si="7"/>
        <v>4.7116116727352234E-2</v>
      </c>
      <c r="F14" s="146">
        <f t="shared" si="7"/>
        <v>4.5757082967657979E-2</v>
      </c>
      <c r="G14" s="146">
        <f t="shared" si="7"/>
        <v>4.4449817933545743E-2</v>
      </c>
      <c r="H14" s="147">
        <f t="shared" si="7"/>
        <v>4.3191879926573799E-2</v>
      </c>
      <c r="I14" s="146">
        <f t="shared" si="7"/>
        <v>4.1980964151615084E-2</v>
      </c>
      <c r="J14" s="146">
        <f t="shared" si="7"/>
        <v>4.08148938445426E-2</v>
      </c>
      <c r="K14" s="146">
        <f t="shared" si="7"/>
        <v>3.9691612051008483E-2</v>
      </c>
      <c r="L14" s="146">
        <f t="shared" si="7"/>
        <v>3.8609174003053207E-2</v>
      </c>
      <c r="M14" s="146">
        <f t="shared" si="7"/>
        <v>3.7565740045078878E-2</v>
      </c>
    </row>
    <row r="15" spans="1:29" ht="15.75" x14ac:dyDescent="0.2">
      <c r="A15" s="149">
        <v>4</v>
      </c>
      <c r="B15" s="148">
        <f>+B14</f>
        <v>0.05</v>
      </c>
      <c r="C15" s="146">
        <f t="shared" si="7"/>
        <v>4.9980004999000183E-2</v>
      </c>
      <c r="D15" s="146">
        <f t="shared" si="7"/>
        <v>4.8049017224140816E-2</v>
      </c>
      <c r="E15" s="146">
        <f t="shared" si="7"/>
        <v>4.6192271301325714E-2</v>
      </c>
      <c r="F15" s="146">
        <f t="shared" si="7"/>
        <v>4.4424352395784454E-2</v>
      </c>
      <c r="G15" s="146">
        <f t="shared" si="7"/>
        <v>4.2740209551486288E-2</v>
      </c>
      <c r="H15" s="147">
        <f t="shared" si="7"/>
        <v>4.1135123739594104E-2</v>
      </c>
      <c r="I15" s="146">
        <f t="shared" si="7"/>
        <v>3.9604683161901022E-2</v>
      </c>
      <c r="J15" s="146">
        <f t="shared" si="7"/>
        <v>3.814476060237626E-2</v>
      </c>
      <c r="K15" s="146">
        <f t="shared" si="7"/>
        <v>3.6751492639822664E-2</v>
      </c>
      <c r="L15" s="146">
        <f t="shared" si="7"/>
        <v>3.5421260553259823E-2</v>
      </c>
      <c r="M15" s="146">
        <f t="shared" si="7"/>
        <v>3.415067276825353E-2</v>
      </c>
    </row>
    <row r="16" spans="1:29" ht="15.75" x14ac:dyDescent="0.2">
      <c r="A16" s="149">
        <v>5</v>
      </c>
      <c r="B16" s="148">
        <f>1+B15</f>
        <v>1.05</v>
      </c>
      <c r="C16" s="146">
        <f t="shared" si="7"/>
        <v>1.0494751574632577</v>
      </c>
      <c r="D16" s="146">
        <f t="shared" si="7"/>
        <v>0.99903897198708635</v>
      </c>
      <c r="E16" s="146">
        <f t="shared" si="7"/>
        <v>0.95101735032141177</v>
      </c>
      <c r="F16" s="146">
        <f t="shared" si="7"/>
        <v>0.90573922360337233</v>
      </c>
      <c r="G16" s="146">
        <f t="shared" si="7"/>
        <v>0.86302346209731917</v>
      </c>
      <c r="H16" s="147">
        <f t="shared" si="7"/>
        <v>0.82270247479188197</v>
      </c>
      <c r="I16" s="146">
        <f t="shared" si="7"/>
        <v>0.78462108150935972</v>
      </c>
      <c r="J16" s="146">
        <f t="shared" si="7"/>
        <v>0.74863548845785177</v>
      </c>
      <c r="K16" s="146">
        <f t="shared" si="7"/>
        <v>0.71461235688544067</v>
      </c>
      <c r="L16" s="146">
        <f t="shared" si="7"/>
        <v>0.68242795561326253</v>
      </c>
      <c r="M16" s="146">
        <f t="shared" si="7"/>
        <v>0.65196738921211272</v>
      </c>
    </row>
    <row r="17" spans="1:13" ht="15.75" x14ac:dyDescent="0.2">
      <c r="A17" s="290" t="s">
        <v>122</v>
      </c>
      <c r="B17" s="290"/>
      <c r="C17" s="145">
        <f t="shared" ref="C17:M17" si="8">SUM(C12:C16)</f>
        <v>1.249425167461508</v>
      </c>
      <c r="D17" s="145">
        <f t="shared" si="8"/>
        <v>1.1941372495730049</v>
      </c>
      <c r="E17" s="145">
        <f t="shared" si="8"/>
        <v>1.1414037852551262</v>
      </c>
      <c r="F17" s="145">
        <f t="shared" si="8"/>
        <v>1.0915941437438907</v>
      </c>
      <c r="G17" s="145">
        <f t="shared" si="8"/>
        <v>1.044518223310162</v>
      </c>
      <c r="H17" s="147">
        <f t="shared" si="8"/>
        <v>1</v>
      </c>
      <c r="I17" s="145">
        <f t="shared" si="8"/>
        <v>0.95787636214434257</v>
      </c>
      <c r="J17" s="145">
        <f t="shared" si="8"/>
        <v>0.917996051281048</v>
      </c>
      <c r="K17" s="145">
        <f t="shared" si="8"/>
        <v>0.88021869888765725</v>
      </c>
      <c r="L17" s="145">
        <f t="shared" si="8"/>
        <v>0.84441394946593107</v>
      </c>
      <c r="M17" s="145">
        <f t="shared" si="8"/>
        <v>0.8104606615295773</v>
      </c>
    </row>
    <row r="18" spans="1:13" ht="15.75" x14ac:dyDescent="0.2">
      <c r="A18" s="290" t="s">
        <v>121</v>
      </c>
      <c r="B18" s="290"/>
      <c r="C18" s="143">
        <f>+C17-D17</f>
        <v>5.5287917888503069E-2</v>
      </c>
      <c r="D18" s="143">
        <f>+D17-E17</f>
        <v>5.2733464317878731E-2</v>
      </c>
      <c r="E18" s="143">
        <f>+E17-F17</f>
        <v>4.9809641511235458E-2</v>
      </c>
      <c r="F18" s="143">
        <f>+F17-G17</f>
        <v>4.7075920433728768E-2</v>
      </c>
      <c r="G18" s="143">
        <f>+G17-H17</f>
        <v>4.4518223310161975E-2</v>
      </c>
      <c r="H18" s="144">
        <f>+H17-H17</f>
        <v>0</v>
      </c>
      <c r="I18" s="143">
        <f>+I17-H17</f>
        <v>-4.2123637855657425E-2</v>
      </c>
      <c r="J18" s="143">
        <f>+J17-I17</f>
        <v>-3.9880310863294577E-2</v>
      </c>
      <c r="K18" s="143">
        <f>+K17-J17</f>
        <v>-3.7777352393390751E-2</v>
      </c>
      <c r="L18" s="143">
        <f>+L17-K17</f>
        <v>-3.5804749421726179E-2</v>
      </c>
      <c r="M18" s="143">
        <f>+M17-L17</f>
        <v>-3.3953287936353771E-2</v>
      </c>
    </row>
    <row r="19" spans="1:13" ht="15.95" x14ac:dyDescent="0.2">
      <c r="A19" s="155"/>
      <c r="B19" s="155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</row>
    <row r="20" spans="1:13" ht="15.75" x14ac:dyDescent="0.2">
      <c r="A20" s="154" t="s">
        <v>126</v>
      </c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3">
        <f ca="1">EDATE(TODAY(),12*A31)</f>
        <v>48616</v>
      </c>
    </row>
    <row r="21" spans="1:13" ht="15.75" x14ac:dyDescent="0.2">
      <c r="A21" s="149" t="s">
        <v>124</v>
      </c>
      <c r="B21" s="149" t="s">
        <v>123</v>
      </c>
      <c r="C21" s="152">
        <v>1E-4</v>
      </c>
      <c r="D21" s="150">
        <v>0.01</v>
      </c>
      <c r="E21" s="150">
        <v>0.02</v>
      </c>
      <c r="F21" s="150">
        <v>0.03</v>
      </c>
      <c r="G21" s="150">
        <v>0.04</v>
      </c>
      <c r="H21" s="151">
        <v>0.05</v>
      </c>
      <c r="I21" s="150">
        <v>0.06</v>
      </c>
      <c r="J21" s="150">
        <v>7.0000000000000007E-2</v>
      </c>
      <c r="K21" s="150">
        <v>0.08</v>
      </c>
      <c r="L21" s="150">
        <v>0.09</v>
      </c>
      <c r="M21" s="150">
        <v>0.1</v>
      </c>
    </row>
    <row r="22" spans="1:13" ht="15.75" x14ac:dyDescent="0.2">
      <c r="A22" s="149">
        <v>1</v>
      </c>
      <c r="B22" s="148">
        <v>0.05</v>
      </c>
      <c r="C22" s="146">
        <f t="shared" ref="C22:M31" si="9">$B22/(1+C$3)^$A22</f>
        <v>4.999500049995001E-2</v>
      </c>
      <c r="D22" s="146">
        <f t="shared" si="9"/>
        <v>4.9504950495049507E-2</v>
      </c>
      <c r="E22" s="146">
        <f t="shared" si="9"/>
        <v>4.9019607843137254E-2</v>
      </c>
      <c r="F22" s="146">
        <f t="shared" si="9"/>
        <v>4.8543689320388349E-2</v>
      </c>
      <c r="G22" s="146">
        <f t="shared" si="9"/>
        <v>4.807692307692308E-2</v>
      </c>
      <c r="H22" s="147">
        <f t="shared" si="9"/>
        <v>4.7619047619047616E-2</v>
      </c>
      <c r="I22" s="146">
        <f t="shared" si="9"/>
        <v>4.716981132075472E-2</v>
      </c>
      <c r="J22" s="146">
        <f t="shared" si="9"/>
        <v>4.6728971962616821E-2</v>
      </c>
      <c r="K22" s="146">
        <f t="shared" si="9"/>
        <v>4.6296296296296294E-2</v>
      </c>
      <c r="L22" s="146">
        <f t="shared" si="9"/>
        <v>4.5871559633027525E-2</v>
      </c>
      <c r="M22" s="146">
        <f t="shared" si="9"/>
        <v>4.5454545454545456E-2</v>
      </c>
    </row>
    <row r="23" spans="1:13" ht="15.75" x14ac:dyDescent="0.2">
      <c r="A23" s="149">
        <v>2</v>
      </c>
      <c r="B23" s="148">
        <f t="shared" ref="B23:B30" si="10">+B22</f>
        <v>0.05</v>
      </c>
      <c r="C23" s="146">
        <f t="shared" si="9"/>
        <v>4.9990001499800034E-2</v>
      </c>
      <c r="D23" s="146">
        <f t="shared" si="9"/>
        <v>4.901480247034605E-2</v>
      </c>
      <c r="E23" s="146">
        <f t="shared" si="9"/>
        <v>4.8058439061899272E-2</v>
      </c>
      <c r="F23" s="146">
        <f t="shared" si="9"/>
        <v>4.7129795456687724E-2</v>
      </c>
      <c r="G23" s="146">
        <f t="shared" si="9"/>
        <v>4.6227810650887574E-2</v>
      </c>
      <c r="H23" s="147">
        <f t="shared" si="9"/>
        <v>4.5351473922902494E-2</v>
      </c>
      <c r="I23" s="146">
        <f t="shared" si="9"/>
        <v>4.4499822000711994E-2</v>
      </c>
      <c r="J23" s="146">
        <f t="shared" si="9"/>
        <v>4.3671936413660586E-2</v>
      </c>
      <c r="K23" s="146">
        <f t="shared" si="9"/>
        <v>4.2866941015089165E-2</v>
      </c>
      <c r="L23" s="146">
        <f t="shared" si="9"/>
        <v>4.2083999663328001E-2</v>
      </c>
      <c r="M23" s="146">
        <f t="shared" si="9"/>
        <v>4.1322314049586771E-2</v>
      </c>
    </row>
    <row r="24" spans="1:13" ht="15.75" x14ac:dyDescent="0.2">
      <c r="A24" s="149">
        <v>3</v>
      </c>
      <c r="B24" s="148">
        <f t="shared" si="10"/>
        <v>0.05</v>
      </c>
      <c r="C24" s="146">
        <f t="shared" si="9"/>
        <v>4.9985002999500087E-2</v>
      </c>
      <c r="D24" s="146">
        <f t="shared" si="9"/>
        <v>4.8529507396382232E-2</v>
      </c>
      <c r="E24" s="146">
        <f t="shared" si="9"/>
        <v>4.7116116727352234E-2</v>
      </c>
      <c r="F24" s="146">
        <f t="shared" si="9"/>
        <v>4.5757082967657979E-2</v>
      </c>
      <c r="G24" s="146">
        <f t="shared" si="9"/>
        <v>4.4449817933545743E-2</v>
      </c>
      <c r="H24" s="147">
        <f t="shared" si="9"/>
        <v>4.3191879926573799E-2</v>
      </c>
      <c r="I24" s="146">
        <f t="shared" si="9"/>
        <v>4.1980964151615084E-2</v>
      </c>
      <c r="J24" s="146">
        <f t="shared" si="9"/>
        <v>4.08148938445426E-2</v>
      </c>
      <c r="K24" s="146">
        <f t="shared" si="9"/>
        <v>3.9691612051008483E-2</v>
      </c>
      <c r="L24" s="146">
        <f t="shared" si="9"/>
        <v>3.8609174003053207E-2</v>
      </c>
      <c r="M24" s="146">
        <f t="shared" si="9"/>
        <v>3.7565740045078878E-2</v>
      </c>
    </row>
    <row r="25" spans="1:13" ht="15.75" x14ac:dyDescent="0.2">
      <c r="A25" s="149">
        <v>4</v>
      </c>
      <c r="B25" s="148">
        <f t="shared" si="10"/>
        <v>0.05</v>
      </c>
      <c r="C25" s="146">
        <f t="shared" si="9"/>
        <v>4.9980004999000183E-2</v>
      </c>
      <c r="D25" s="146">
        <f t="shared" si="9"/>
        <v>4.8049017224140816E-2</v>
      </c>
      <c r="E25" s="146">
        <f t="shared" si="9"/>
        <v>4.6192271301325714E-2</v>
      </c>
      <c r="F25" s="146">
        <f t="shared" si="9"/>
        <v>4.4424352395784454E-2</v>
      </c>
      <c r="G25" s="146">
        <f t="shared" si="9"/>
        <v>4.2740209551486288E-2</v>
      </c>
      <c r="H25" s="147">
        <f t="shared" si="9"/>
        <v>4.1135123739594104E-2</v>
      </c>
      <c r="I25" s="146">
        <f t="shared" si="9"/>
        <v>3.9604683161901022E-2</v>
      </c>
      <c r="J25" s="146">
        <f t="shared" si="9"/>
        <v>3.814476060237626E-2</v>
      </c>
      <c r="K25" s="146">
        <f t="shared" si="9"/>
        <v>3.6751492639822664E-2</v>
      </c>
      <c r="L25" s="146">
        <f t="shared" si="9"/>
        <v>3.5421260553259823E-2</v>
      </c>
      <c r="M25" s="146">
        <f t="shared" si="9"/>
        <v>3.415067276825353E-2</v>
      </c>
    </row>
    <row r="26" spans="1:13" ht="15.75" x14ac:dyDescent="0.2">
      <c r="A26" s="149">
        <v>5</v>
      </c>
      <c r="B26" s="148">
        <f t="shared" si="10"/>
        <v>0.05</v>
      </c>
      <c r="C26" s="146">
        <f t="shared" si="9"/>
        <v>4.9975007498250366E-2</v>
      </c>
      <c r="D26" s="146">
        <f t="shared" si="9"/>
        <v>4.7573284380337443E-2</v>
      </c>
      <c r="E26" s="146">
        <f t="shared" si="9"/>
        <v>4.5286540491495796E-2</v>
      </c>
      <c r="F26" s="146">
        <f t="shared" si="9"/>
        <v>4.3130439219208207E-2</v>
      </c>
      <c r="G26" s="146">
        <f t="shared" si="9"/>
        <v>4.1096355337967579E-2</v>
      </c>
      <c r="H26" s="147">
        <f t="shared" si="9"/>
        <v>3.9176308323422948E-2</v>
      </c>
      <c r="I26" s="146">
        <f t="shared" si="9"/>
        <v>3.7362908643302849E-2</v>
      </c>
      <c r="J26" s="146">
        <f t="shared" si="9"/>
        <v>3.5649308974183419E-2</v>
      </c>
      <c r="K26" s="146">
        <f t="shared" si="9"/>
        <v>3.4029159851687654E-2</v>
      </c>
      <c r="L26" s="146">
        <f t="shared" si="9"/>
        <v>3.2496569314917269E-2</v>
      </c>
      <c r="M26" s="146">
        <f t="shared" si="9"/>
        <v>3.1046066152957751E-2</v>
      </c>
    </row>
    <row r="27" spans="1:13" ht="15.75" x14ac:dyDescent="0.2">
      <c r="A27" s="149">
        <v>6</v>
      </c>
      <c r="B27" s="148">
        <f t="shared" si="10"/>
        <v>0.05</v>
      </c>
      <c r="C27" s="146">
        <f t="shared" si="9"/>
        <v>4.9970010497200644E-2</v>
      </c>
      <c r="D27" s="146">
        <f t="shared" si="9"/>
        <v>4.7102261762710332E-2</v>
      </c>
      <c r="E27" s="146">
        <f t="shared" si="9"/>
        <v>4.4398569109309602E-2</v>
      </c>
      <c r="F27" s="146">
        <f t="shared" si="9"/>
        <v>4.1874212834182724E-2</v>
      </c>
      <c r="G27" s="146">
        <f t="shared" si="9"/>
        <v>3.9515726286507291E-2</v>
      </c>
      <c r="H27" s="147">
        <f t="shared" si="9"/>
        <v>3.7310769831831382E-2</v>
      </c>
      <c r="I27" s="146">
        <f t="shared" si="9"/>
        <v>3.5248027021983819E-2</v>
      </c>
      <c r="J27" s="146">
        <f t="shared" si="9"/>
        <v>3.331711119082563E-2</v>
      </c>
      <c r="K27" s="146">
        <f t="shared" si="9"/>
        <v>3.150848134415523E-2</v>
      </c>
      <c r="L27" s="146">
        <f t="shared" si="9"/>
        <v>2.9813366343960791E-2</v>
      </c>
      <c r="M27" s="146">
        <f t="shared" si="9"/>
        <v>2.8223696502688859E-2</v>
      </c>
    </row>
    <row r="28" spans="1:13" ht="15.75" x14ac:dyDescent="0.2">
      <c r="A28" s="149">
        <v>7</v>
      </c>
      <c r="B28" s="148">
        <f t="shared" si="10"/>
        <v>0.05</v>
      </c>
      <c r="C28" s="146">
        <f t="shared" si="9"/>
        <v>4.9965013995801062E-2</v>
      </c>
      <c r="D28" s="146">
        <f t="shared" si="9"/>
        <v>4.6635902735356775E-2</v>
      </c>
      <c r="E28" s="146">
        <f t="shared" si="9"/>
        <v>4.3528008930695701E-2</v>
      </c>
      <c r="F28" s="146">
        <f t="shared" si="9"/>
        <v>4.0654575567167693E-2</v>
      </c>
      <c r="G28" s="146">
        <f t="shared" si="9"/>
        <v>3.7995890660103164E-2</v>
      </c>
      <c r="H28" s="147">
        <f t="shared" si="9"/>
        <v>3.5534066506506076E-2</v>
      </c>
      <c r="I28" s="146">
        <f t="shared" si="9"/>
        <v>3.32528556811168E-2</v>
      </c>
      <c r="J28" s="146">
        <f t="shared" si="9"/>
        <v>3.1137487094229557E-2</v>
      </c>
      <c r="K28" s="146">
        <f t="shared" si="9"/>
        <v>2.9174519763106692E-2</v>
      </c>
      <c r="L28" s="146">
        <f t="shared" si="9"/>
        <v>2.7351712242165864E-2</v>
      </c>
      <c r="M28" s="146">
        <f t="shared" si="9"/>
        <v>2.5657905911535325E-2</v>
      </c>
    </row>
    <row r="29" spans="1:13" ht="15.75" x14ac:dyDescent="0.2">
      <c r="A29" s="149">
        <v>8</v>
      </c>
      <c r="B29" s="148">
        <f t="shared" si="10"/>
        <v>0.05</v>
      </c>
      <c r="C29" s="146">
        <f t="shared" si="9"/>
        <v>4.9960017994001668E-2</v>
      </c>
      <c r="D29" s="146">
        <f t="shared" si="9"/>
        <v>4.6174161124115612E-2</v>
      </c>
      <c r="E29" s="146">
        <f t="shared" si="9"/>
        <v>4.2674518559505582E-2</v>
      </c>
      <c r="F29" s="146">
        <f t="shared" si="9"/>
        <v>3.9470461715696792E-2</v>
      </c>
      <c r="G29" s="146">
        <f t="shared" si="9"/>
        <v>3.6534510250099191E-2</v>
      </c>
      <c r="H29" s="147">
        <f t="shared" si="9"/>
        <v>3.3841968101434361E-2</v>
      </c>
      <c r="I29" s="146">
        <f t="shared" si="9"/>
        <v>3.1370618567091328E-2</v>
      </c>
      <c r="J29" s="146">
        <f t="shared" si="9"/>
        <v>2.9100455228251925E-2</v>
      </c>
      <c r="K29" s="146">
        <f t="shared" si="9"/>
        <v>2.7013444225098791E-2</v>
      </c>
      <c r="L29" s="146">
        <f t="shared" si="9"/>
        <v>2.5093313983638406E-2</v>
      </c>
      <c r="M29" s="146">
        <f t="shared" si="9"/>
        <v>2.3325369010486659E-2</v>
      </c>
    </row>
    <row r="30" spans="1:13" ht="15.75" x14ac:dyDescent="0.2">
      <c r="A30" s="149">
        <v>9</v>
      </c>
      <c r="B30" s="148">
        <f t="shared" si="10"/>
        <v>0.05</v>
      </c>
      <c r="C30" s="146">
        <f t="shared" si="9"/>
        <v>4.9955022491752495E-2</v>
      </c>
      <c r="D30" s="146">
        <f t="shared" si="9"/>
        <v>4.5716991211995649E-2</v>
      </c>
      <c r="E30" s="146">
        <f t="shared" si="9"/>
        <v>4.1837763293632924E-2</v>
      </c>
      <c r="F30" s="146">
        <f t="shared" si="9"/>
        <v>3.8320836617181352E-2</v>
      </c>
      <c r="G30" s="146">
        <f t="shared" si="9"/>
        <v>3.5129336778941526E-2</v>
      </c>
      <c r="H30" s="147">
        <f t="shared" si="9"/>
        <v>3.2230445810889866E-2</v>
      </c>
      <c r="I30" s="146">
        <f t="shared" si="9"/>
        <v>2.9594923176501253E-2</v>
      </c>
      <c r="J30" s="146">
        <f t="shared" si="9"/>
        <v>2.7196687129207402E-2</v>
      </c>
      <c r="K30" s="146">
        <f t="shared" si="9"/>
        <v>2.5012448356572951E-2</v>
      </c>
      <c r="L30" s="146">
        <f t="shared" si="9"/>
        <v>2.3021388975815051E-2</v>
      </c>
      <c r="M30" s="146">
        <f t="shared" si="9"/>
        <v>2.1204880918624235E-2</v>
      </c>
    </row>
    <row r="31" spans="1:13" ht="15.75" x14ac:dyDescent="0.2">
      <c r="A31" s="149">
        <v>10</v>
      </c>
      <c r="B31" s="148">
        <f>1+B30</f>
        <v>1.05</v>
      </c>
      <c r="C31" s="146">
        <f t="shared" si="9"/>
        <v>1.0489505772690755</v>
      </c>
      <c r="D31" s="146">
        <f t="shared" si="9"/>
        <v>0.95055130242763231</v>
      </c>
      <c r="E31" s="146">
        <f t="shared" si="9"/>
        <v>0.86136571486891311</v>
      </c>
      <c r="F31" s="146">
        <f t="shared" si="9"/>
        <v>0.78129861064156148</v>
      </c>
      <c r="G31" s="146">
        <f t="shared" si="9"/>
        <v>0.70934237726708849</v>
      </c>
      <c r="H31" s="147">
        <f t="shared" si="9"/>
        <v>0.64460891621779726</v>
      </c>
      <c r="I31" s="146">
        <f t="shared" si="9"/>
        <v>0.58631451576087379</v>
      </c>
      <c r="J31" s="146">
        <f t="shared" si="9"/>
        <v>0.53376675674145369</v>
      </c>
      <c r="K31" s="146">
        <f t="shared" si="9"/>
        <v>0.48635316248891847</v>
      </c>
      <c r="L31" s="146">
        <f t="shared" si="9"/>
        <v>0.44353134724047338</v>
      </c>
      <c r="M31" s="146">
        <f t="shared" si="9"/>
        <v>0.40482045390100807</v>
      </c>
    </row>
    <row r="32" spans="1:13" ht="15.75" x14ac:dyDescent="0.2">
      <c r="A32" s="290" t="s">
        <v>122</v>
      </c>
      <c r="B32" s="290"/>
      <c r="C32" s="145">
        <f t="shared" ref="C32:M32" si="11">SUM(C22:C31)</f>
        <v>1.4987256597443319</v>
      </c>
      <c r="D32" s="143">
        <f t="shared" si="11"/>
        <v>1.3788521812280667</v>
      </c>
      <c r="E32" s="143">
        <f t="shared" si="11"/>
        <v>1.2694775501872673</v>
      </c>
      <c r="F32" s="143">
        <f t="shared" si="11"/>
        <v>1.1706040567355167</v>
      </c>
      <c r="G32" s="143">
        <f t="shared" si="11"/>
        <v>1.08110895779355</v>
      </c>
      <c r="H32" s="144">
        <f t="shared" si="11"/>
        <v>0.99999999999999989</v>
      </c>
      <c r="I32" s="143">
        <f t="shared" si="11"/>
        <v>0.92639912948585268</v>
      </c>
      <c r="J32" s="143">
        <f t="shared" si="11"/>
        <v>0.8595283691813479</v>
      </c>
      <c r="K32" s="143">
        <f t="shared" si="11"/>
        <v>0.79869755803175635</v>
      </c>
      <c r="L32" s="143">
        <f t="shared" si="11"/>
        <v>0.74329369195363926</v>
      </c>
      <c r="M32" s="143">
        <f t="shared" si="11"/>
        <v>0.69277164471476549</v>
      </c>
    </row>
    <row r="33" spans="1:13" ht="15.75" x14ac:dyDescent="0.2">
      <c r="A33" s="290" t="s">
        <v>121</v>
      </c>
      <c r="B33" s="290"/>
      <c r="C33" s="143">
        <f>+C32-D32</f>
        <v>0.11987347851626518</v>
      </c>
      <c r="D33" s="143">
        <f>+D32-E32</f>
        <v>0.10937463104079947</v>
      </c>
      <c r="E33" s="143">
        <f>+E32-F32</f>
        <v>9.887349345175056E-2</v>
      </c>
      <c r="F33" s="143">
        <f>+F32-G32</f>
        <v>8.9495098941966722E-2</v>
      </c>
      <c r="G33" s="143">
        <f>+G32-H32</f>
        <v>8.1108957793550096E-2</v>
      </c>
      <c r="H33" s="144">
        <f>+H32-H32</f>
        <v>0</v>
      </c>
      <c r="I33" s="143">
        <v>0</v>
      </c>
      <c r="J33" s="143">
        <f>+J32-I32</f>
        <v>-6.6870760304504784E-2</v>
      </c>
      <c r="K33" s="143">
        <f>+K32-J32</f>
        <v>-6.0830811149591546E-2</v>
      </c>
      <c r="L33" s="143">
        <f>+L32-K32</f>
        <v>-5.5403866078117092E-2</v>
      </c>
      <c r="M33" s="143">
        <f>+M32-L32</f>
        <v>-5.0522047238873768E-2</v>
      </c>
    </row>
    <row r="35" spans="1:13" ht="15.75" x14ac:dyDescent="0.2">
      <c r="A35" s="154" t="s">
        <v>125</v>
      </c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3">
        <f ca="1">EDATE(TODAY(),12*A66)</f>
        <v>55921</v>
      </c>
    </row>
    <row r="36" spans="1:13" ht="15.75" x14ac:dyDescent="0.2">
      <c r="A36" s="149" t="s">
        <v>124</v>
      </c>
      <c r="B36" s="149" t="s">
        <v>123</v>
      </c>
      <c r="C36" s="152">
        <v>1E-4</v>
      </c>
      <c r="D36" s="150">
        <v>0.01</v>
      </c>
      <c r="E36" s="150">
        <v>0.02</v>
      </c>
      <c r="F36" s="150">
        <v>0.03</v>
      </c>
      <c r="G36" s="150">
        <v>0.04</v>
      </c>
      <c r="H36" s="151">
        <v>0.05</v>
      </c>
      <c r="I36" s="150">
        <v>0.06</v>
      </c>
      <c r="J36" s="150">
        <v>7.0000000000000007E-2</v>
      </c>
      <c r="K36" s="150">
        <v>0.08</v>
      </c>
      <c r="L36" s="150">
        <v>0.09</v>
      </c>
      <c r="M36" s="150">
        <v>0.1</v>
      </c>
    </row>
    <row r="37" spans="1:13" ht="15.75" x14ac:dyDescent="0.2">
      <c r="A37" s="149">
        <v>1</v>
      </c>
      <c r="B37" s="148">
        <v>0.06</v>
      </c>
      <c r="C37" s="146">
        <f t="shared" ref="C37:C66" si="12">$B37/(1+C$3)^$A37</f>
        <v>5.9994000599940006E-2</v>
      </c>
      <c r="D37" s="146">
        <f t="shared" ref="D37:M46" si="13">$B37/(1+D$36)^$A37</f>
        <v>5.9405940594059403E-2</v>
      </c>
      <c r="E37" s="146">
        <f t="shared" si="13"/>
        <v>5.8823529411764705E-2</v>
      </c>
      <c r="F37" s="146">
        <f t="shared" si="13"/>
        <v>5.8252427184466014E-2</v>
      </c>
      <c r="G37" s="146">
        <f t="shared" si="13"/>
        <v>5.7692307692307689E-2</v>
      </c>
      <c r="H37" s="147">
        <f t="shared" si="13"/>
        <v>5.7142857142857141E-2</v>
      </c>
      <c r="I37" s="146">
        <f t="shared" si="13"/>
        <v>5.6603773584905655E-2</v>
      </c>
      <c r="J37" s="146">
        <f t="shared" si="13"/>
        <v>5.6074766355140179E-2</v>
      </c>
      <c r="K37" s="146">
        <f t="shared" si="13"/>
        <v>5.5555555555555552E-2</v>
      </c>
      <c r="L37" s="146">
        <f t="shared" si="13"/>
        <v>5.5045871559633024E-2</v>
      </c>
      <c r="M37" s="146">
        <f t="shared" si="13"/>
        <v>5.4545454545454536E-2</v>
      </c>
    </row>
    <row r="38" spans="1:13" ht="15.75" x14ac:dyDescent="0.2">
      <c r="A38" s="149">
        <v>2</v>
      </c>
      <c r="B38" s="148">
        <f t="shared" ref="B38:B65" si="14">+B37</f>
        <v>0.06</v>
      </c>
      <c r="C38" s="146">
        <f t="shared" si="12"/>
        <v>5.9988001799760035E-2</v>
      </c>
      <c r="D38" s="146">
        <f t="shared" si="13"/>
        <v>5.8817762964415252E-2</v>
      </c>
      <c r="E38" s="146">
        <f t="shared" si="13"/>
        <v>5.7670126874279123E-2</v>
      </c>
      <c r="F38" s="146">
        <f t="shared" si="13"/>
        <v>5.6555754548025264E-2</v>
      </c>
      <c r="G38" s="146">
        <f t="shared" si="13"/>
        <v>5.5473372781065081E-2</v>
      </c>
      <c r="H38" s="147">
        <f t="shared" si="13"/>
        <v>5.4421768707482991E-2</v>
      </c>
      <c r="I38" s="146">
        <f t="shared" si="13"/>
        <v>5.3399786400854389E-2</v>
      </c>
      <c r="J38" s="146">
        <f t="shared" si="13"/>
        <v>5.2406323696392698E-2</v>
      </c>
      <c r="K38" s="146">
        <f t="shared" si="13"/>
        <v>5.1440329218106991E-2</v>
      </c>
      <c r="L38" s="146">
        <f t="shared" si="13"/>
        <v>5.0500799595993594E-2</v>
      </c>
      <c r="M38" s="146">
        <f t="shared" si="13"/>
        <v>4.958677685950412E-2</v>
      </c>
    </row>
    <row r="39" spans="1:13" ht="15.75" x14ac:dyDescent="0.2">
      <c r="A39" s="149">
        <v>3</v>
      </c>
      <c r="B39" s="148">
        <f t="shared" si="14"/>
        <v>0.06</v>
      </c>
      <c r="C39" s="146">
        <f t="shared" si="12"/>
        <v>5.9982003599400098E-2</v>
      </c>
      <c r="D39" s="146">
        <f t="shared" si="13"/>
        <v>5.8235408875658673E-2</v>
      </c>
      <c r="E39" s="146">
        <f t="shared" si="13"/>
        <v>5.6539340072822672E-2</v>
      </c>
      <c r="F39" s="146">
        <f t="shared" si="13"/>
        <v>5.4908499561189573E-2</v>
      </c>
      <c r="G39" s="146">
        <f t="shared" si="13"/>
        <v>5.3339781520254884E-2</v>
      </c>
      <c r="H39" s="147">
        <f t="shared" si="13"/>
        <v>5.1830255911888556E-2</v>
      </c>
      <c r="I39" s="146">
        <f t="shared" si="13"/>
        <v>5.0377156981938093E-2</v>
      </c>
      <c r="J39" s="146">
        <f t="shared" si="13"/>
        <v>4.8977872613451115E-2</v>
      </c>
      <c r="K39" s="146">
        <f t="shared" si="13"/>
        <v>4.7629934461210173E-2</v>
      </c>
      <c r="L39" s="146">
        <f t="shared" si="13"/>
        <v>4.6331008803663844E-2</v>
      </c>
      <c r="M39" s="146">
        <f t="shared" si="13"/>
        <v>4.507888805409465E-2</v>
      </c>
    </row>
    <row r="40" spans="1:13" ht="15.75" x14ac:dyDescent="0.2">
      <c r="A40" s="149">
        <v>4</v>
      </c>
      <c r="B40" s="148">
        <f t="shared" si="14"/>
        <v>0.06</v>
      </c>
      <c r="C40" s="146">
        <f t="shared" si="12"/>
        <v>5.9976005998800215E-2</v>
      </c>
      <c r="D40" s="146">
        <f t="shared" si="13"/>
        <v>5.7658820668968977E-2</v>
      </c>
      <c r="E40" s="146">
        <f t="shared" si="13"/>
        <v>5.543072556159085E-2</v>
      </c>
      <c r="F40" s="146">
        <f t="shared" si="13"/>
        <v>5.3309222874941338E-2</v>
      </c>
      <c r="G40" s="146">
        <f t="shared" si="13"/>
        <v>5.1288251461783542E-2</v>
      </c>
      <c r="H40" s="147">
        <f t="shared" si="13"/>
        <v>4.9362148487512914E-2</v>
      </c>
      <c r="I40" s="146">
        <f t="shared" si="13"/>
        <v>4.7525619794281222E-2</v>
      </c>
      <c r="J40" s="146">
        <f t="shared" si="13"/>
        <v>4.5773712722851509E-2</v>
      </c>
      <c r="K40" s="146">
        <f t="shared" si="13"/>
        <v>4.4101791167787195E-2</v>
      </c>
      <c r="L40" s="146">
        <f t="shared" si="13"/>
        <v>4.2505512663911782E-2</v>
      </c>
      <c r="M40" s="146">
        <f t="shared" si="13"/>
        <v>4.0980807321904227E-2</v>
      </c>
    </row>
    <row r="41" spans="1:13" ht="15.75" x14ac:dyDescent="0.2">
      <c r="A41" s="149">
        <v>5</v>
      </c>
      <c r="B41" s="148">
        <f t="shared" si="14"/>
        <v>0.06</v>
      </c>
      <c r="C41" s="146">
        <f t="shared" si="12"/>
        <v>5.9970008997900434E-2</v>
      </c>
      <c r="D41" s="146">
        <f t="shared" si="13"/>
        <v>5.7087941256404928E-2</v>
      </c>
      <c r="E41" s="146">
        <f t="shared" si="13"/>
        <v>5.4343848589794949E-2</v>
      </c>
      <c r="F41" s="146">
        <f t="shared" si="13"/>
        <v>5.1756527063049847E-2</v>
      </c>
      <c r="G41" s="146">
        <f t="shared" si="13"/>
        <v>4.9315626405561093E-2</v>
      </c>
      <c r="H41" s="147">
        <f t="shared" si="13"/>
        <v>4.7011569988107536E-2</v>
      </c>
      <c r="I41" s="146">
        <f t="shared" si="13"/>
        <v>4.483549037196341E-2</v>
      </c>
      <c r="J41" s="146">
        <f t="shared" si="13"/>
        <v>4.2779170769020103E-2</v>
      </c>
      <c r="K41" s="146">
        <f t="shared" si="13"/>
        <v>4.0834991822025178E-2</v>
      </c>
      <c r="L41" s="146">
        <f t="shared" si="13"/>
        <v>3.8995883177900717E-2</v>
      </c>
      <c r="M41" s="146">
        <f t="shared" si="13"/>
        <v>3.7255279383549299E-2</v>
      </c>
    </row>
    <row r="42" spans="1:13" ht="15.75" x14ac:dyDescent="0.2">
      <c r="A42" s="149">
        <v>6</v>
      </c>
      <c r="B42" s="148">
        <f t="shared" si="14"/>
        <v>0.06</v>
      </c>
      <c r="C42" s="146">
        <f t="shared" si="12"/>
        <v>5.9964012596640769E-2</v>
      </c>
      <c r="D42" s="146">
        <f t="shared" si="13"/>
        <v>5.6522714115252393E-2</v>
      </c>
      <c r="E42" s="146">
        <f t="shared" si="13"/>
        <v>5.3278282931171518E-2</v>
      </c>
      <c r="F42" s="146">
        <f t="shared" si="13"/>
        <v>5.024905540101926E-2</v>
      </c>
      <c r="G42" s="146">
        <f t="shared" si="13"/>
        <v>4.7418871543808742E-2</v>
      </c>
      <c r="H42" s="147">
        <f t="shared" si="13"/>
        <v>4.477292379819766E-2</v>
      </c>
      <c r="I42" s="146">
        <f t="shared" si="13"/>
        <v>4.2297632426380578E-2</v>
      </c>
      <c r="J42" s="146">
        <f t="shared" si="13"/>
        <v>3.9980533428990751E-2</v>
      </c>
      <c r="K42" s="146">
        <f t="shared" si="13"/>
        <v>3.7810177612986273E-2</v>
      </c>
      <c r="L42" s="146">
        <f t="shared" si="13"/>
        <v>3.5776039612752948E-2</v>
      </c>
      <c r="M42" s="146">
        <f t="shared" si="13"/>
        <v>3.3868435803226626E-2</v>
      </c>
    </row>
    <row r="43" spans="1:13" ht="15.75" x14ac:dyDescent="0.2">
      <c r="A43" s="149">
        <v>7</v>
      </c>
      <c r="B43" s="148">
        <f t="shared" si="14"/>
        <v>0.06</v>
      </c>
      <c r="C43" s="146">
        <f t="shared" si="12"/>
        <v>5.9958016794961266E-2</v>
      </c>
      <c r="D43" s="146">
        <f t="shared" si="13"/>
        <v>5.5963083282428126E-2</v>
      </c>
      <c r="E43" s="146">
        <f t="shared" si="13"/>
        <v>5.2233610716834834E-2</v>
      </c>
      <c r="F43" s="146">
        <f t="shared" si="13"/>
        <v>4.8785490680601222E-2</v>
      </c>
      <c r="G43" s="146">
        <f t="shared" si="13"/>
        <v>4.5595068792123793E-2</v>
      </c>
      <c r="H43" s="147">
        <f t="shared" si="13"/>
        <v>4.2640879807807286E-2</v>
      </c>
      <c r="I43" s="146">
        <f t="shared" si="13"/>
        <v>3.990342681734016E-2</v>
      </c>
      <c r="J43" s="146">
        <f t="shared" si="13"/>
        <v>3.7364984513075468E-2</v>
      </c>
      <c r="K43" s="146">
        <f t="shared" si="13"/>
        <v>3.500942371572803E-2</v>
      </c>
      <c r="L43" s="146">
        <f t="shared" si="13"/>
        <v>3.2822054690599033E-2</v>
      </c>
      <c r="M43" s="146">
        <f t="shared" si="13"/>
        <v>3.0789487093842386E-2</v>
      </c>
    </row>
    <row r="44" spans="1:13" ht="15.75" x14ac:dyDescent="0.2">
      <c r="A44" s="149">
        <v>8</v>
      </c>
      <c r="B44" s="148">
        <f t="shared" si="14"/>
        <v>0.06</v>
      </c>
      <c r="C44" s="146">
        <f t="shared" si="12"/>
        <v>5.9952021592801996E-2</v>
      </c>
      <c r="D44" s="146">
        <f t="shared" si="13"/>
        <v>5.5408993348938729E-2</v>
      </c>
      <c r="E44" s="146">
        <f t="shared" si="13"/>
        <v>5.1209422271406693E-2</v>
      </c>
      <c r="F44" s="146">
        <f t="shared" si="13"/>
        <v>4.7364554058836147E-2</v>
      </c>
      <c r="G44" s="146">
        <f t="shared" si="13"/>
        <v>4.3841412300119023E-2</v>
      </c>
      <c r="H44" s="147">
        <f t="shared" si="13"/>
        <v>4.0610361721721229E-2</v>
      </c>
      <c r="I44" s="146">
        <f t="shared" si="13"/>
        <v>3.764474228050959E-2</v>
      </c>
      <c r="J44" s="146">
        <f t="shared" si="13"/>
        <v>3.4920546273902307E-2</v>
      </c>
      <c r="K44" s="146">
        <f t="shared" si="13"/>
        <v>3.2416133070118543E-2</v>
      </c>
      <c r="L44" s="146">
        <f t="shared" si="13"/>
        <v>3.0111976780366086E-2</v>
      </c>
      <c r="M44" s="146">
        <f t="shared" si="13"/>
        <v>2.799044281258399E-2</v>
      </c>
    </row>
    <row r="45" spans="1:13" ht="15.75" x14ac:dyDescent="0.2">
      <c r="A45" s="149">
        <v>9</v>
      </c>
      <c r="B45" s="148">
        <f t="shared" si="14"/>
        <v>0.06</v>
      </c>
      <c r="C45" s="146">
        <f t="shared" si="12"/>
        <v>5.9946026990102985E-2</v>
      </c>
      <c r="D45" s="146">
        <f t="shared" si="13"/>
        <v>5.4860389454394774E-2</v>
      </c>
      <c r="E45" s="146">
        <f t="shared" si="13"/>
        <v>5.0205315952359504E-2</v>
      </c>
      <c r="F45" s="146">
        <f t="shared" si="13"/>
        <v>4.5985003940617615E-2</v>
      </c>
      <c r="G45" s="146">
        <f t="shared" si="13"/>
        <v>4.2155204134729826E-2</v>
      </c>
      <c r="H45" s="147">
        <f t="shared" si="13"/>
        <v>3.8676534973067833E-2</v>
      </c>
      <c r="I45" s="146">
        <f t="shared" si="13"/>
        <v>3.5513907811801498E-2</v>
      </c>
      <c r="J45" s="146">
        <f t="shared" si="13"/>
        <v>3.2636024555048881E-2</v>
      </c>
      <c r="K45" s="146">
        <f t="shared" si="13"/>
        <v>3.0014938027887541E-2</v>
      </c>
      <c r="L45" s="146">
        <f t="shared" si="13"/>
        <v>2.7625666770978059E-2</v>
      </c>
      <c r="M45" s="146">
        <f t="shared" si="13"/>
        <v>2.5445857102349079E-2</v>
      </c>
    </row>
    <row r="46" spans="1:13" ht="15.75" x14ac:dyDescent="0.2">
      <c r="A46" s="149">
        <v>10</v>
      </c>
      <c r="B46" s="148">
        <f t="shared" si="14"/>
        <v>0.06</v>
      </c>
      <c r="C46" s="146">
        <f t="shared" si="12"/>
        <v>5.9940032986804302E-2</v>
      </c>
      <c r="D46" s="146">
        <f t="shared" si="13"/>
        <v>5.4317217281578983E-2</v>
      </c>
      <c r="E46" s="146">
        <f t="shared" si="13"/>
        <v>4.9220897992509317E-2</v>
      </c>
      <c r="F46" s="146">
        <f t="shared" si="13"/>
        <v>4.4645634893803507E-2</v>
      </c>
      <c r="G46" s="146">
        <f t="shared" si="13"/>
        <v>4.053385012954791E-2</v>
      </c>
      <c r="H46" s="147">
        <f t="shared" si="13"/>
        <v>3.6834795212445558E-2</v>
      </c>
      <c r="I46" s="146">
        <f t="shared" si="13"/>
        <v>3.3503686614907074E-2</v>
      </c>
      <c r="J46" s="146">
        <f t="shared" si="13"/>
        <v>3.0500957528083066E-2</v>
      </c>
      <c r="K46" s="146">
        <f t="shared" si="13"/>
        <v>2.7791609285081054E-2</v>
      </c>
      <c r="L46" s="146">
        <f t="shared" si="13"/>
        <v>2.5344648413741334E-2</v>
      </c>
      <c r="M46" s="146">
        <f t="shared" si="13"/>
        <v>2.3132597365771886E-2</v>
      </c>
    </row>
    <row r="47" spans="1:13" ht="15.75" x14ac:dyDescent="0.2">
      <c r="A47" s="149">
        <v>11</v>
      </c>
      <c r="B47" s="148">
        <f t="shared" si="14"/>
        <v>0.06</v>
      </c>
      <c r="C47" s="146">
        <f t="shared" si="12"/>
        <v>5.993403958284603E-2</v>
      </c>
      <c r="D47" s="146">
        <f t="shared" ref="D47:M56" si="15">$B47/(1+D$36)^$A47</f>
        <v>5.3779423051068309E-2</v>
      </c>
      <c r="E47" s="146">
        <f t="shared" si="15"/>
        <v>4.8255782345597374E-2</v>
      </c>
      <c r="F47" s="146">
        <f t="shared" si="15"/>
        <v>4.3345276595925734E-2</v>
      </c>
      <c r="G47" s="146">
        <f t="shared" si="15"/>
        <v>3.8974855893796075E-2</v>
      </c>
      <c r="H47" s="147">
        <f t="shared" si="15"/>
        <v>3.5080757345186245E-2</v>
      </c>
      <c r="I47" s="146">
        <f t="shared" si="15"/>
        <v>3.1607251523497235E-2</v>
      </c>
      <c r="J47" s="146">
        <f t="shared" si="15"/>
        <v>2.8505567783255199E-2</v>
      </c>
      <c r="K47" s="146">
        <f t="shared" si="15"/>
        <v>2.5732971560260234E-2</v>
      </c>
      <c r="L47" s="146">
        <f t="shared" si="15"/>
        <v>2.3251971021781042E-2</v>
      </c>
      <c r="M47" s="146">
        <f t="shared" si="15"/>
        <v>2.1029633968883531E-2</v>
      </c>
    </row>
    <row r="48" spans="1:13" ht="15.75" x14ac:dyDescent="0.2">
      <c r="A48" s="149">
        <v>12</v>
      </c>
      <c r="B48" s="148">
        <f t="shared" si="14"/>
        <v>0.06</v>
      </c>
      <c r="C48" s="146">
        <f t="shared" si="12"/>
        <v>5.9928046778168202E-2</v>
      </c>
      <c r="D48" s="146">
        <f t="shared" si="15"/>
        <v>5.3246953515909218E-2</v>
      </c>
      <c r="E48" s="146">
        <f t="shared" si="15"/>
        <v>4.730959053489938E-2</v>
      </c>
      <c r="F48" s="146">
        <f t="shared" si="15"/>
        <v>4.2082792811578389E-2</v>
      </c>
      <c r="G48" s="146">
        <f t="shared" si="15"/>
        <v>3.747582297480391E-2</v>
      </c>
      <c r="H48" s="147">
        <f t="shared" si="15"/>
        <v>3.3410245090653566E-2</v>
      </c>
      <c r="I48" s="146">
        <f t="shared" si="15"/>
        <v>2.9818161814620027E-2</v>
      </c>
      <c r="J48" s="146">
        <f t="shared" si="15"/>
        <v>2.6640717554444117E-2</v>
      </c>
      <c r="K48" s="146">
        <f t="shared" si="15"/>
        <v>2.3826825518759476E-2</v>
      </c>
      <c r="L48" s="146">
        <f t="shared" si="15"/>
        <v>2.133208350622114E-2</v>
      </c>
      <c r="M48" s="146">
        <f t="shared" si="15"/>
        <v>1.9117849062621393E-2</v>
      </c>
    </row>
    <row r="49" spans="1:13" ht="15.75" x14ac:dyDescent="0.2">
      <c r="A49" s="149">
        <v>13</v>
      </c>
      <c r="B49" s="148">
        <f t="shared" si="14"/>
        <v>0.06</v>
      </c>
      <c r="C49" s="146">
        <f t="shared" si="12"/>
        <v>5.992205457271095E-2</v>
      </c>
      <c r="D49" s="146">
        <f t="shared" si="15"/>
        <v>5.271975595634576E-2</v>
      </c>
      <c r="E49" s="146">
        <f t="shared" si="15"/>
        <v>4.6381951504803322E-2</v>
      </c>
      <c r="F49" s="146">
        <f t="shared" si="15"/>
        <v>4.085708039959067E-2</v>
      </c>
      <c r="G49" s="146">
        <f t="shared" si="15"/>
        <v>3.603444516808068E-2</v>
      </c>
      <c r="H49" s="147">
        <f t="shared" si="15"/>
        <v>3.181928103871768E-2</v>
      </c>
      <c r="I49" s="146">
        <f t="shared" si="15"/>
        <v>2.8130341334547195E-2</v>
      </c>
      <c r="J49" s="146">
        <f t="shared" si="15"/>
        <v>2.4897866873312257E-2</v>
      </c>
      <c r="K49" s="146">
        <f t="shared" si="15"/>
        <v>2.2061875480332848E-2</v>
      </c>
      <c r="L49" s="146">
        <f t="shared" si="15"/>
        <v>1.9570718813046912E-2</v>
      </c>
      <c r="M49" s="146">
        <f t="shared" si="15"/>
        <v>1.7379862784201266E-2</v>
      </c>
    </row>
    <row r="50" spans="1:13" ht="15.75" x14ac:dyDescent="0.2">
      <c r="A50" s="149">
        <v>14</v>
      </c>
      <c r="B50" s="148">
        <f t="shared" si="14"/>
        <v>0.06</v>
      </c>
      <c r="C50" s="146">
        <f t="shared" si="12"/>
        <v>5.9916062966414309E-2</v>
      </c>
      <c r="D50" s="146">
        <f t="shared" si="15"/>
        <v>5.2197778174599752E-2</v>
      </c>
      <c r="E50" s="146">
        <f t="shared" si="15"/>
        <v>4.5472501475297369E-2</v>
      </c>
      <c r="F50" s="146">
        <f t="shared" si="15"/>
        <v>3.9667068349117152E-2</v>
      </c>
      <c r="G50" s="146">
        <f t="shared" si="15"/>
        <v>3.4648504969308346E-2</v>
      </c>
      <c r="H50" s="147">
        <f t="shared" si="15"/>
        <v>3.0304077179731131E-2</v>
      </c>
      <c r="I50" s="146">
        <f t="shared" si="15"/>
        <v>2.6538057862780372E-2</v>
      </c>
      <c r="J50" s="146">
        <f t="shared" si="15"/>
        <v>2.3269034461039492E-2</v>
      </c>
      <c r="K50" s="146">
        <f t="shared" si="15"/>
        <v>2.042766248178967E-2</v>
      </c>
      <c r="L50" s="146">
        <f t="shared" si="15"/>
        <v>1.7954787901877902E-2</v>
      </c>
      <c r="M50" s="146">
        <f t="shared" si="15"/>
        <v>1.5799875258364782E-2</v>
      </c>
    </row>
    <row r="51" spans="1:13" ht="15.75" x14ac:dyDescent="0.2">
      <c r="A51" s="149">
        <v>15</v>
      </c>
      <c r="B51" s="148">
        <f t="shared" si="14"/>
        <v>0.06</v>
      </c>
      <c r="C51" s="146">
        <f t="shared" si="12"/>
        <v>5.9910071959218381E-2</v>
      </c>
      <c r="D51" s="146">
        <f t="shared" si="15"/>
        <v>5.1680968489702744E-2</v>
      </c>
      <c r="E51" s="146">
        <f t="shared" si="15"/>
        <v>4.4580883799311154E-2</v>
      </c>
      <c r="F51" s="146">
        <f t="shared" si="15"/>
        <v>3.8511716843803057E-2</v>
      </c>
      <c r="G51" s="146">
        <f t="shared" si="15"/>
        <v>3.3315870162796489E-2</v>
      </c>
      <c r="H51" s="147">
        <f t="shared" si="15"/>
        <v>2.8861025885458209E-2</v>
      </c>
      <c r="I51" s="146">
        <f t="shared" si="15"/>
        <v>2.5035903644132419E-2</v>
      </c>
      <c r="J51" s="146">
        <f t="shared" si="15"/>
        <v>2.1746761178541581E-2</v>
      </c>
      <c r="K51" s="146">
        <f t="shared" si="15"/>
        <v>1.8914502297953398E-2</v>
      </c>
      <c r="L51" s="146">
        <f t="shared" si="15"/>
        <v>1.6472282478787067E-2</v>
      </c>
      <c r="M51" s="146">
        <f t="shared" si="15"/>
        <v>1.4363522962149803E-2</v>
      </c>
    </row>
    <row r="52" spans="1:13" ht="15.75" x14ac:dyDescent="0.2">
      <c r="A52" s="149">
        <v>16</v>
      </c>
      <c r="B52" s="148">
        <f t="shared" si="14"/>
        <v>0.06</v>
      </c>
      <c r="C52" s="146">
        <f t="shared" si="12"/>
        <v>5.9904081551063276E-2</v>
      </c>
      <c r="D52" s="146">
        <f t="shared" si="15"/>
        <v>5.1169275732378935E-2</v>
      </c>
      <c r="E52" s="146">
        <f t="shared" si="15"/>
        <v>4.3706748822854066E-2</v>
      </c>
      <c r="F52" s="146">
        <f t="shared" si="15"/>
        <v>3.7390016353206858E-2</v>
      </c>
      <c r="G52" s="146">
        <f t="shared" si="15"/>
        <v>3.2034490541150464E-2</v>
      </c>
      <c r="H52" s="147">
        <f t="shared" si="15"/>
        <v>2.7486691319484013E-2</v>
      </c>
      <c r="I52" s="146">
        <f t="shared" si="15"/>
        <v>2.3618777022766442E-2</v>
      </c>
      <c r="J52" s="146">
        <f t="shared" si="15"/>
        <v>2.032407586779587E-2</v>
      </c>
      <c r="K52" s="146">
        <f t="shared" si="15"/>
        <v>1.7513428053660553E-2</v>
      </c>
      <c r="L52" s="146">
        <f t="shared" si="15"/>
        <v>1.5112185760355105E-2</v>
      </c>
      <c r="M52" s="146">
        <f t="shared" si="15"/>
        <v>1.3057748147408912E-2</v>
      </c>
    </row>
    <row r="53" spans="1:13" ht="15.75" x14ac:dyDescent="0.2">
      <c r="A53" s="149">
        <v>17</v>
      </c>
      <c r="B53" s="148">
        <f t="shared" si="14"/>
        <v>0.06</v>
      </c>
      <c r="C53" s="146">
        <f t="shared" si="12"/>
        <v>5.9898091741889078E-2</v>
      </c>
      <c r="D53" s="146">
        <f t="shared" si="15"/>
        <v>5.0662649239979145E-2</v>
      </c>
      <c r="E53" s="146">
        <f t="shared" si="15"/>
        <v>4.2849753747896138E-2</v>
      </c>
      <c r="F53" s="146">
        <f t="shared" si="15"/>
        <v>3.630098675068627E-2</v>
      </c>
      <c r="G53" s="146">
        <f t="shared" si="15"/>
        <v>3.0802394751106212E-2</v>
      </c>
      <c r="H53" s="147">
        <f t="shared" si="15"/>
        <v>2.6177801256651437E-2</v>
      </c>
      <c r="I53" s="146">
        <f t="shared" si="15"/>
        <v>2.2281865115817395E-2</v>
      </c>
      <c r="J53" s="146">
        <f t="shared" si="15"/>
        <v>1.8994463427846608E-2</v>
      </c>
      <c r="K53" s="146">
        <f t="shared" si="15"/>
        <v>1.6216137086722735E-2</v>
      </c>
      <c r="L53" s="146">
        <f t="shared" si="15"/>
        <v>1.3864390605830371E-2</v>
      </c>
      <c r="M53" s="146">
        <f t="shared" si="15"/>
        <v>1.1870680134008101E-2</v>
      </c>
    </row>
    <row r="54" spans="1:13" ht="15.75" x14ac:dyDescent="0.2">
      <c r="A54" s="149">
        <v>18</v>
      </c>
      <c r="B54" s="148">
        <f t="shared" si="14"/>
        <v>0.06</v>
      </c>
      <c r="C54" s="146">
        <f t="shared" si="12"/>
        <v>5.9892102531635925E-2</v>
      </c>
      <c r="D54" s="146">
        <f t="shared" si="15"/>
        <v>5.0161038851464494E-2</v>
      </c>
      <c r="E54" s="146">
        <f t="shared" si="15"/>
        <v>4.20095624979374E-2</v>
      </c>
      <c r="F54" s="146">
        <f t="shared" si="15"/>
        <v>3.5243676456976965E-2</v>
      </c>
      <c r="G54" s="146">
        <f t="shared" si="15"/>
        <v>2.9617687260679048E-2</v>
      </c>
      <c r="H54" s="147">
        <f t="shared" si="15"/>
        <v>2.4931239292048987E-2</v>
      </c>
      <c r="I54" s="146">
        <f t="shared" si="15"/>
        <v>2.1020627467752257E-2</v>
      </c>
      <c r="J54" s="146">
        <f t="shared" si="15"/>
        <v>1.7751834979295895E-2</v>
      </c>
      <c r="K54" s="146">
        <f t="shared" si="15"/>
        <v>1.5014941746965493E-2</v>
      </c>
      <c r="L54" s="146">
        <f t="shared" si="15"/>
        <v>1.2719624409018688E-2</v>
      </c>
      <c r="M54" s="146">
        <f t="shared" si="15"/>
        <v>1.0791527394552818E-2</v>
      </c>
    </row>
    <row r="55" spans="1:13" ht="15.75" x14ac:dyDescent="0.2">
      <c r="A55" s="149">
        <v>19</v>
      </c>
      <c r="B55" s="148">
        <f t="shared" si="14"/>
        <v>0.06</v>
      </c>
      <c r="C55" s="146">
        <f t="shared" si="12"/>
        <v>5.9886113920243907E-2</v>
      </c>
      <c r="D55" s="146">
        <f t="shared" si="15"/>
        <v>4.9664394902440102E-2</v>
      </c>
      <c r="E55" s="146">
        <f t="shared" si="15"/>
        <v>4.1185845586213139E-2</v>
      </c>
      <c r="F55" s="146">
        <f t="shared" si="15"/>
        <v>3.4217161608715498E-2</v>
      </c>
      <c r="G55" s="146">
        <f t="shared" si="15"/>
        <v>2.8478545442960624E-2</v>
      </c>
      <c r="H55" s="147">
        <f t="shared" si="15"/>
        <v>2.3744037420999037E-2</v>
      </c>
      <c r="I55" s="146">
        <f t="shared" si="15"/>
        <v>1.9830780629954959E-2</v>
      </c>
      <c r="J55" s="146">
        <f t="shared" si="15"/>
        <v>1.6590499980650368E-2</v>
      </c>
      <c r="K55" s="146">
        <f t="shared" si="15"/>
        <v>1.3902723839782862E-2</v>
      </c>
      <c r="L55" s="146">
        <f t="shared" si="15"/>
        <v>1.1669380191760264E-2</v>
      </c>
      <c r="M55" s="146">
        <f t="shared" si="15"/>
        <v>9.8104794495934688E-3</v>
      </c>
    </row>
    <row r="56" spans="1:13" ht="15.75" x14ac:dyDescent="0.2">
      <c r="A56" s="149">
        <v>20</v>
      </c>
      <c r="B56" s="148">
        <f t="shared" si="14"/>
        <v>0.06</v>
      </c>
      <c r="C56" s="146">
        <f t="shared" si="12"/>
        <v>5.9880125907653146E-2</v>
      </c>
      <c r="D56" s="146">
        <f t="shared" si="15"/>
        <v>4.9172668220237727E-2</v>
      </c>
      <c r="E56" s="146">
        <f t="shared" si="15"/>
        <v>4.037827998648346E-2</v>
      </c>
      <c r="F56" s="146">
        <f t="shared" si="15"/>
        <v>3.3220545251180095E-2</v>
      </c>
      <c r="G56" s="146">
        <f t="shared" si="15"/>
        <v>2.7383216772077522E-2</v>
      </c>
      <c r="H56" s="147">
        <f t="shared" si="15"/>
        <v>2.2613368972380036E-2</v>
      </c>
      <c r="I56" s="146">
        <f t="shared" si="15"/>
        <v>1.8708283613165056E-2</v>
      </c>
      <c r="J56" s="146">
        <f t="shared" si="15"/>
        <v>1.5505140168832121E-2</v>
      </c>
      <c r="K56" s="146">
        <f t="shared" si="15"/>
        <v>1.2872892444243392E-2</v>
      </c>
      <c r="L56" s="146">
        <f t="shared" si="15"/>
        <v>1.0705853386936023E-2</v>
      </c>
      <c r="M56" s="146">
        <f t="shared" si="15"/>
        <v>8.9186176814486096E-3</v>
      </c>
    </row>
    <row r="57" spans="1:13" ht="15.75" x14ac:dyDescent="0.2">
      <c r="A57" s="149">
        <v>21</v>
      </c>
      <c r="B57" s="148">
        <f t="shared" si="14"/>
        <v>0.06</v>
      </c>
      <c r="C57" s="146">
        <f t="shared" si="12"/>
        <v>5.9874138493803769E-2</v>
      </c>
      <c r="D57" s="146">
        <f t="shared" ref="D57:M66" si="16">$B57/(1+D$36)^$A57</f>
        <v>4.8685810119047254E-2</v>
      </c>
      <c r="E57" s="146">
        <f t="shared" si="16"/>
        <v>3.9586549006356338E-2</v>
      </c>
      <c r="F57" s="146">
        <f t="shared" si="16"/>
        <v>3.2252956554543785E-2</v>
      </c>
      <c r="G57" s="146">
        <f t="shared" si="16"/>
        <v>2.6330016126997612E-2</v>
      </c>
      <c r="H57" s="147">
        <f t="shared" si="16"/>
        <v>2.1536541878457178E-2</v>
      </c>
      <c r="I57" s="146">
        <f t="shared" si="16"/>
        <v>1.7649324163363258E-2</v>
      </c>
      <c r="J57" s="146">
        <f t="shared" si="16"/>
        <v>1.4490785204516E-2</v>
      </c>
      <c r="K57" s="146">
        <f t="shared" si="16"/>
        <v>1.1919344855780918E-2</v>
      </c>
      <c r="L57" s="146">
        <f t="shared" si="16"/>
        <v>9.8218838412257054E-3</v>
      </c>
      <c r="M57" s="146">
        <f t="shared" si="16"/>
        <v>8.1078342558623707E-3</v>
      </c>
    </row>
    <row r="58" spans="1:13" ht="15.75" x14ac:dyDescent="0.2">
      <c r="A58" s="149">
        <v>22</v>
      </c>
      <c r="B58" s="148">
        <f t="shared" si="14"/>
        <v>0.06</v>
      </c>
      <c r="C58" s="146">
        <f t="shared" si="12"/>
        <v>5.9868151678635899E-2</v>
      </c>
      <c r="D58" s="146">
        <f t="shared" si="16"/>
        <v>4.8203772395096281E-2</v>
      </c>
      <c r="E58" s="146">
        <f t="shared" si="16"/>
        <v>3.8810342163094445E-2</v>
      </c>
      <c r="F58" s="146">
        <f t="shared" si="16"/>
        <v>3.1313550052955129E-2</v>
      </c>
      <c r="G58" s="146">
        <f t="shared" si="16"/>
        <v>2.5317323199036165E-2</v>
      </c>
      <c r="H58" s="147">
        <f t="shared" si="16"/>
        <v>2.0510992265197311E-2</v>
      </c>
      <c r="I58" s="146">
        <f t="shared" si="16"/>
        <v>1.6650305814493636E-2</v>
      </c>
      <c r="J58" s="146">
        <f t="shared" si="16"/>
        <v>1.3542789910762618E-2</v>
      </c>
      <c r="K58" s="146">
        <f t="shared" si="16"/>
        <v>1.1036430422019367E-2</v>
      </c>
      <c r="L58" s="146">
        <f t="shared" si="16"/>
        <v>9.0109026066290884E-3</v>
      </c>
      <c r="M58" s="146">
        <f t="shared" si="16"/>
        <v>7.3707584144203364E-3</v>
      </c>
    </row>
    <row r="59" spans="1:13" ht="15.75" x14ac:dyDescent="0.2">
      <c r="A59" s="149">
        <v>23</v>
      </c>
      <c r="B59" s="148">
        <f t="shared" si="14"/>
        <v>0.06</v>
      </c>
      <c r="C59" s="146">
        <f t="shared" si="12"/>
        <v>5.9862165462089688E-2</v>
      </c>
      <c r="D59" s="146">
        <f t="shared" si="16"/>
        <v>4.7726507321877512E-2</v>
      </c>
      <c r="E59" s="146">
        <f t="shared" si="16"/>
        <v>3.8049355061857311E-2</v>
      </c>
      <c r="F59" s="146">
        <f t="shared" si="16"/>
        <v>3.0401504905781678E-2</v>
      </c>
      <c r="G59" s="146">
        <f t="shared" si="16"/>
        <v>2.4343579999073238E-2</v>
      </c>
      <c r="H59" s="147">
        <f t="shared" si="16"/>
        <v>1.9534278347806959E-2</v>
      </c>
      <c r="I59" s="146">
        <f t="shared" si="16"/>
        <v>1.57078356740506E-2</v>
      </c>
      <c r="J59" s="146">
        <f t="shared" si="16"/>
        <v>1.2656813000712726E-2</v>
      </c>
      <c r="K59" s="146">
        <f t="shared" si="16"/>
        <v>1.021891705742534E-2</v>
      </c>
      <c r="L59" s="146">
        <f t="shared" si="16"/>
        <v>8.2668831253477869E-3</v>
      </c>
      <c r="M59" s="146">
        <f t="shared" si="16"/>
        <v>6.7006894676548507E-3</v>
      </c>
    </row>
    <row r="60" spans="1:13" ht="15.75" x14ac:dyDescent="0.2">
      <c r="A60" s="149">
        <v>24</v>
      </c>
      <c r="B60" s="148">
        <f t="shared" si="14"/>
        <v>0.06</v>
      </c>
      <c r="C60" s="146">
        <f t="shared" si="12"/>
        <v>5.9856179844105288E-2</v>
      </c>
      <c r="D60" s="146">
        <f t="shared" si="16"/>
        <v>4.7253967645423271E-2</v>
      </c>
      <c r="E60" s="146">
        <f t="shared" si="16"/>
        <v>3.7303289276330691E-2</v>
      </c>
      <c r="F60" s="146">
        <f t="shared" si="16"/>
        <v>2.9516024180370564E-2</v>
      </c>
      <c r="G60" s="146">
        <f t="shared" si="16"/>
        <v>2.3407288460647342E-2</v>
      </c>
      <c r="H60" s="147">
        <f t="shared" si="16"/>
        <v>1.8604074616959013E-2</v>
      </c>
      <c r="I60" s="146">
        <f t="shared" si="16"/>
        <v>1.4818712900047737E-2</v>
      </c>
      <c r="J60" s="146">
        <f t="shared" si="16"/>
        <v>1.1828797196927782E-2</v>
      </c>
      <c r="K60" s="146">
        <f t="shared" si="16"/>
        <v>9.4619602383567963E-3</v>
      </c>
      <c r="L60" s="146">
        <f t="shared" si="16"/>
        <v>7.5842964452731984E-3</v>
      </c>
      <c r="M60" s="146">
        <f t="shared" si="16"/>
        <v>6.0915358796862287E-3</v>
      </c>
    </row>
    <row r="61" spans="1:13" ht="15.75" x14ac:dyDescent="0.2">
      <c r="A61" s="149">
        <v>25</v>
      </c>
      <c r="B61" s="148">
        <f t="shared" si="14"/>
        <v>0.06</v>
      </c>
      <c r="C61" s="146">
        <f t="shared" si="12"/>
        <v>5.9850194824622831E-2</v>
      </c>
      <c r="D61" s="146">
        <f t="shared" si="16"/>
        <v>4.6786106579626993E-2</v>
      </c>
      <c r="E61" s="146">
        <f t="shared" si="16"/>
        <v>3.6571852231696761E-2</v>
      </c>
      <c r="F61" s="146">
        <f t="shared" si="16"/>
        <v>2.865633415569958E-2</v>
      </c>
      <c r="G61" s="146">
        <f t="shared" si="16"/>
        <v>2.2507008135237826E-2</v>
      </c>
      <c r="H61" s="147">
        <f t="shared" si="16"/>
        <v>1.7718166301865724E-2</v>
      </c>
      <c r="I61" s="146">
        <f t="shared" si="16"/>
        <v>1.3979917830233715E-2</v>
      </c>
      <c r="J61" s="146">
        <f t="shared" si="16"/>
        <v>1.1054950651334374E-2</v>
      </c>
      <c r="K61" s="146">
        <f t="shared" si="16"/>
        <v>8.7610742947748094E-3</v>
      </c>
      <c r="L61" s="146">
        <f t="shared" si="16"/>
        <v>6.958070133278163E-3</v>
      </c>
      <c r="M61" s="146">
        <f t="shared" si="16"/>
        <v>5.5377598906238426E-3</v>
      </c>
    </row>
    <row r="62" spans="1:13" ht="15.75" x14ac:dyDescent="0.2">
      <c r="A62" s="149">
        <v>26</v>
      </c>
      <c r="B62" s="148">
        <f t="shared" si="14"/>
        <v>0.06</v>
      </c>
      <c r="C62" s="146">
        <f t="shared" si="12"/>
        <v>5.9844210403582475E-2</v>
      </c>
      <c r="D62" s="146">
        <f t="shared" si="16"/>
        <v>4.6322877801610887E-2</v>
      </c>
      <c r="E62" s="146">
        <f t="shared" si="16"/>
        <v>3.5854757089898777E-2</v>
      </c>
      <c r="F62" s="146">
        <f t="shared" si="16"/>
        <v>2.7821683646310266E-2</v>
      </c>
      <c r="G62" s="146">
        <f t="shared" si="16"/>
        <v>2.1641353976190221E-2</v>
      </c>
      <c r="H62" s="147">
        <f t="shared" si="16"/>
        <v>1.6874444097014975E-2</v>
      </c>
      <c r="I62" s="146">
        <f t="shared" si="16"/>
        <v>1.3188601726635579E-2</v>
      </c>
      <c r="J62" s="146">
        <f t="shared" si="16"/>
        <v>1.0331729580686332E-2</v>
      </c>
      <c r="K62" s="146">
        <f t="shared" si="16"/>
        <v>8.112105828495194E-3</v>
      </c>
      <c r="L62" s="146">
        <f t="shared" si="16"/>
        <v>6.3835505809891396E-3</v>
      </c>
      <c r="M62" s="146">
        <f t="shared" si="16"/>
        <v>5.0343271732944022E-3</v>
      </c>
    </row>
    <row r="63" spans="1:13" ht="15.75" x14ac:dyDescent="0.2">
      <c r="A63" s="149">
        <v>27</v>
      </c>
      <c r="B63" s="148">
        <f t="shared" si="14"/>
        <v>0.06</v>
      </c>
      <c r="C63" s="146">
        <f t="shared" si="12"/>
        <v>5.9838226580924386E-2</v>
      </c>
      <c r="D63" s="146">
        <f t="shared" si="16"/>
        <v>4.5864235447139509E-2</v>
      </c>
      <c r="E63" s="146">
        <f t="shared" si="16"/>
        <v>3.5151722637155672E-2</v>
      </c>
      <c r="F63" s="146">
        <f t="shared" si="16"/>
        <v>2.70113433459323E-2</v>
      </c>
      <c r="G63" s="146">
        <f t="shared" si="16"/>
        <v>2.0808994207875211E-2</v>
      </c>
      <c r="H63" s="147">
        <f t="shared" si="16"/>
        <v>1.607089914001426E-2</v>
      </c>
      <c r="I63" s="146">
        <f t="shared" si="16"/>
        <v>1.2442077100599601E-2</v>
      </c>
      <c r="J63" s="146">
        <f t="shared" si="16"/>
        <v>9.6558220380246074E-3</v>
      </c>
      <c r="K63" s="146">
        <f t="shared" si="16"/>
        <v>7.5112091004585135E-3</v>
      </c>
      <c r="L63" s="146">
        <f t="shared" si="16"/>
        <v>5.8564684229258169E-3</v>
      </c>
      <c r="M63" s="146">
        <f t="shared" si="16"/>
        <v>4.5766610666312744E-3</v>
      </c>
    </row>
    <row r="64" spans="1:13" ht="15.75" x14ac:dyDescent="0.2">
      <c r="A64" s="149">
        <v>28</v>
      </c>
      <c r="B64" s="148">
        <f t="shared" si="14"/>
        <v>0.06</v>
      </c>
      <c r="C64" s="146">
        <f t="shared" si="12"/>
        <v>5.9832243356588717E-2</v>
      </c>
      <c r="D64" s="146">
        <f t="shared" si="16"/>
        <v>4.541013410607872E-2</v>
      </c>
      <c r="E64" s="146">
        <f t="shared" si="16"/>
        <v>3.4462473173682021E-2</v>
      </c>
      <c r="F64" s="146">
        <f t="shared" si="16"/>
        <v>2.6224605190225535E-2</v>
      </c>
      <c r="G64" s="146">
        <f t="shared" si="16"/>
        <v>2.0008648276803081E-2</v>
      </c>
      <c r="H64" s="147">
        <f t="shared" si="16"/>
        <v>1.5305618228585014E-2</v>
      </c>
      <c r="I64" s="146">
        <f t="shared" si="16"/>
        <v>1.1737808585471321E-2</v>
      </c>
      <c r="J64" s="146">
        <f t="shared" si="16"/>
        <v>9.0241327458173912E-3</v>
      </c>
      <c r="K64" s="146">
        <f t="shared" si="16"/>
        <v>6.9548232411652897E-3</v>
      </c>
      <c r="L64" s="146">
        <f t="shared" si="16"/>
        <v>5.3729068100236846E-3</v>
      </c>
      <c r="M64" s="146">
        <f t="shared" si="16"/>
        <v>4.160600969664795E-3</v>
      </c>
    </row>
    <row r="65" spans="1:13" ht="15.75" x14ac:dyDescent="0.2">
      <c r="A65" s="149">
        <v>29</v>
      </c>
      <c r="B65" s="148">
        <f t="shared" si="14"/>
        <v>0.06</v>
      </c>
      <c r="C65" s="146">
        <f t="shared" si="12"/>
        <v>5.9826260730515675E-2</v>
      </c>
      <c r="D65" s="146">
        <f t="shared" si="16"/>
        <v>4.496052881789972E-2</v>
      </c>
      <c r="E65" s="146">
        <f t="shared" si="16"/>
        <v>3.3786738405570615E-2</v>
      </c>
      <c r="F65" s="146">
        <f t="shared" si="16"/>
        <v>2.5460781738083044E-2</v>
      </c>
      <c r="G65" s="146">
        <f t="shared" si="16"/>
        <v>1.9239084881541423E-2</v>
      </c>
      <c r="H65" s="147">
        <f t="shared" si="16"/>
        <v>1.4576779265319056E-2</v>
      </c>
      <c r="I65" s="146">
        <f t="shared" si="16"/>
        <v>1.1073404325916339E-2</v>
      </c>
      <c r="J65" s="146">
        <f t="shared" si="16"/>
        <v>8.4337689213246653E-3</v>
      </c>
      <c r="K65" s="146">
        <f t="shared" si="16"/>
        <v>6.4396511492271205E-3</v>
      </c>
      <c r="L65" s="146">
        <f t="shared" si="16"/>
        <v>4.9292723027740222E-3</v>
      </c>
      <c r="M65" s="146">
        <f t="shared" si="16"/>
        <v>3.7823645178770861E-3</v>
      </c>
    </row>
    <row r="66" spans="1:13" ht="15.75" x14ac:dyDescent="0.2">
      <c r="A66" s="149">
        <v>30</v>
      </c>
      <c r="B66" s="148">
        <f>1+B65</f>
        <v>1.06</v>
      </c>
      <c r="C66" s="146">
        <f t="shared" si="12"/>
        <v>1.0568249237467358</v>
      </c>
      <c r="D66" s="146">
        <f t="shared" si="16"/>
        <v>0.78643829285435141</v>
      </c>
      <c r="E66" s="146">
        <f t="shared" si="16"/>
        <v>0.58519514231870673</v>
      </c>
      <c r="F66" s="146">
        <f t="shared" si="16"/>
        <v>0.43670596508686133</v>
      </c>
      <c r="G66" s="146">
        <f t="shared" si="16"/>
        <v>0.32681778805182554</v>
      </c>
      <c r="H66" s="147">
        <f t="shared" si="16"/>
        <v>0.24526009557520964</v>
      </c>
      <c r="I66" s="146">
        <f t="shared" si="16"/>
        <v>0.18455673876527234</v>
      </c>
      <c r="J66" s="146">
        <f t="shared" si="16"/>
        <v>0.13924914418386519</v>
      </c>
      <c r="K66" s="146">
        <f t="shared" si="16"/>
        <v>0.1053399725027893</v>
      </c>
      <c r="L66" s="146">
        <f t="shared" si="16"/>
        <v>7.9893404295725737E-2</v>
      </c>
      <c r="M66" s="146">
        <f t="shared" si="16"/>
        <v>6.0747066499238042E-2</v>
      </c>
    </row>
    <row r="67" spans="1:13" ht="15.75" x14ac:dyDescent="0.2">
      <c r="A67" s="290" t="s">
        <v>122</v>
      </c>
      <c r="B67" s="290"/>
      <c r="C67" s="145">
        <f t="shared" ref="C67:M67" si="17">SUM(C37:C66)</f>
        <v>2.7942176185905598</v>
      </c>
      <c r="D67" s="143">
        <f t="shared" si="17"/>
        <v>2.2903854110643778</v>
      </c>
      <c r="E67" s="143">
        <f t="shared" si="17"/>
        <v>1.8958582220401763</v>
      </c>
      <c r="F67" s="143">
        <f t="shared" si="17"/>
        <v>1.5880132404840932</v>
      </c>
      <c r="G67" s="143">
        <f t="shared" si="17"/>
        <v>1.3458406660132884</v>
      </c>
      <c r="H67" s="144">
        <f t="shared" si="17"/>
        <v>1.1537245102688283</v>
      </c>
      <c r="I67" s="143">
        <f t="shared" si="17"/>
        <v>0.99999999999999933</v>
      </c>
      <c r="J67" s="143">
        <f t="shared" si="17"/>
        <v>0.87590958816494102</v>
      </c>
      <c r="K67" s="143">
        <f t="shared" si="17"/>
        <v>0.77484433313744983</v>
      </c>
      <c r="L67" s="143">
        <f t="shared" si="17"/>
        <v>0.69179037870934723</v>
      </c>
      <c r="M67" s="143">
        <f t="shared" si="17"/>
        <v>0.62292342132046685</v>
      </c>
    </row>
    <row r="68" spans="1:13" ht="15.75" x14ac:dyDescent="0.2">
      <c r="A68" s="290" t="s">
        <v>121</v>
      </c>
      <c r="B68" s="290"/>
      <c r="C68" s="143">
        <f>+C67-D67</f>
        <v>0.50383220752618207</v>
      </c>
      <c r="D68" s="143">
        <f>+D67-E67</f>
        <v>0.39452718902420147</v>
      </c>
      <c r="E68" s="143">
        <f>+E67-F67</f>
        <v>0.30784498155608309</v>
      </c>
      <c r="F68" s="143">
        <f>+F67-G67</f>
        <v>0.24217257447080476</v>
      </c>
      <c r="G68" s="143">
        <f>+G67-H67</f>
        <v>0.19211615574446017</v>
      </c>
      <c r="H68" s="144">
        <f>+H67-H67</f>
        <v>0</v>
      </c>
      <c r="I68" s="143">
        <f>+I67-H67</f>
        <v>-0.15372451026882894</v>
      </c>
      <c r="J68" s="143">
        <f>+J67-I67</f>
        <v>-0.12409041183505831</v>
      </c>
      <c r="K68" s="143">
        <f>+K67-J67</f>
        <v>-0.1010652550274912</v>
      </c>
      <c r="L68" s="143">
        <f>+L67-K67</f>
        <v>-8.3053954428102594E-2</v>
      </c>
      <c r="M68" s="143">
        <f>+M67-L67</f>
        <v>-6.8866957388880379E-2</v>
      </c>
    </row>
    <row r="69" spans="1:13" x14ac:dyDescent="0.2">
      <c r="J69" s="142"/>
    </row>
  </sheetData>
  <mergeCells count="8">
    <mergeCell ref="A67:B67"/>
    <mergeCell ref="A68:B68"/>
    <mergeCell ref="A7:B7"/>
    <mergeCell ref="A8:B8"/>
    <mergeCell ref="A17:B17"/>
    <mergeCell ref="A18:B18"/>
    <mergeCell ref="A32:B32"/>
    <mergeCell ref="A33:B33"/>
  </mergeCells>
  <pageMargins left="0.75" right="0.75" top="1" bottom="1" header="0.5" footer="0.5"/>
  <pageSetup paperSize="9" orientation="portrait" horizontalDpi="4294967292" verticalDpi="429496729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EE6FE-7A8A-4B4B-A5E7-A3B24F82E3C6}">
  <dimension ref="A1:O98"/>
  <sheetViews>
    <sheetView showGridLines="0" zoomScale="85" zoomScaleNormal="85" zoomScalePageLayoutView="85" workbookViewId="0">
      <selection activeCell="E25" sqref="E25"/>
    </sheetView>
  </sheetViews>
  <sheetFormatPr baseColWidth="10" defaultColWidth="10.85546875" defaultRowHeight="15" x14ac:dyDescent="0.2"/>
  <cols>
    <col min="1" max="1" width="13.7109375" style="160" bestFit="1" customWidth="1"/>
    <col min="2" max="2" width="14" style="160" bestFit="1" customWidth="1"/>
    <col min="3" max="3" width="10.28515625" style="160" bestFit="1" customWidth="1"/>
    <col min="4" max="4" width="22.85546875" style="160" bestFit="1" customWidth="1"/>
    <col min="5" max="5" width="16.140625" style="160" bestFit="1" customWidth="1"/>
    <col min="6" max="6" width="30.42578125" style="160" bestFit="1" customWidth="1"/>
    <col min="7" max="7" width="22.140625" style="160" bestFit="1" customWidth="1"/>
    <col min="8" max="8" width="4.42578125" style="160" customWidth="1"/>
    <col min="9" max="9" width="13.7109375" style="160" bestFit="1" customWidth="1"/>
    <col min="10" max="10" width="14" style="160" bestFit="1" customWidth="1"/>
    <col min="11" max="11" width="10.28515625" style="160" bestFit="1" customWidth="1"/>
    <col min="12" max="12" width="22.85546875" style="160" bestFit="1" customWidth="1"/>
    <col min="13" max="13" width="16.140625" style="160" bestFit="1" customWidth="1"/>
    <col min="14" max="14" width="30.42578125" style="160" bestFit="1" customWidth="1"/>
    <col min="15" max="15" width="22.140625" style="160" bestFit="1" customWidth="1"/>
    <col min="16" max="16384" width="10.85546875" style="198"/>
  </cols>
  <sheetData>
    <row r="1" spans="1:15" x14ac:dyDescent="0.2">
      <c r="A1" s="291" t="s">
        <v>144</v>
      </c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</row>
    <row r="2" spans="1:15" x14ac:dyDescent="0.2">
      <c r="A2" s="180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</row>
    <row r="3" spans="1:15" x14ac:dyDescent="0.2">
      <c r="A3" s="292" t="s">
        <v>145</v>
      </c>
      <c r="B3" s="292"/>
      <c r="C3" s="292"/>
      <c r="D3" s="292"/>
      <c r="E3" s="199">
        <v>45503</v>
      </c>
      <c r="F3" s="197"/>
      <c r="G3" s="197"/>
      <c r="I3" s="292" t="s">
        <v>145</v>
      </c>
      <c r="J3" s="292"/>
      <c r="K3" s="292"/>
      <c r="L3" s="292"/>
      <c r="M3" s="199">
        <v>47329</v>
      </c>
      <c r="N3" s="197"/>
      <c r="O3" s="197"/>
    </row>
    <row r="4" spans="1:15" x14ac:dyDescent="0.2">
      <c r="A4" s="163"/>
      <c r="B4" s="163"/>
      <c r="C4" s="163"/>
      <c r="D4" s="163"/>
      <c r="E4" s="163"/>
      <c r="F4" s="163"/>
      <c r="G4" s="163"/>
      <c r="I4" s="163"/>
      <c r="J4" s="163"/>
      <c r="K4" s="163"/>
      <c r="L4" s="163"/>
      <c r="M4" s="163"/>
      <c r="N4" s="163"/>
      <c r="O4" s="163"/>
    </row>
    <row r="5" spans="1:15" x14ac:dyDescent="0.2">
      <c r="A5" s="177" t="s">
        <v>140</v>
      </c>
      <c r="B5" s="179">
        <v>1</v>
      </c>
      <c r="C5" s="177" t="s">
        <v>7</v>
      </c>
      <c r="D5" s="176">
        <f>+B5+B6</f>
        <v>1.013041095890411</v>
      </c>
      <c r="E5" s="177" t="s">
        <v>12</v>
      </c>
      <c r="F5" s="178">
        <v>44407</v>
      </c>
      <c r="I5" s="177" t="s">
        <v>140</v>
      </c>
      <c r="J5" s="179">
        <v>1</v>
      </c>
      <c r="K5" s="177" t="s">
        <v>7</v>
      </c>
      <c r="L5" s="176">
        <f>+J5+J6</f>
        <v>1.013041095890411</v>
      </c>
      <c r="M5" s="177" t="s">
        <v>12</v>
      </c>
      <c r="N5" s="178">
        <f>+F5</f>
        <v>44407</v>
      </c>
    </row>
    <row r="6" spans="1:15" x14ac:dyDescent="0.2">
      <c r="A6" s="177" t="s">
        <v>14</v>
      </c>
      <c r="B6" s="176">
        <f>F6*((A9-F5)/(A10-F5))</f>
        <v>1.3041095890410959E-2</v>
      </c>
      <c r="C6" s="177" t="s">
        <v>3</v>
      </c>
      <c r="D6" s="176">
        <f>XIRR(B9:B13,A9:A13)</f>
        <v>3.9890787005424505E-2</v>
      </c>
      <c r="E6" s="177" t="s">
        <v>0</v>
      </c>
      <c r="F6" s="176">
        <v>0.04</v>
      </c>
      <c r="I6" s="177" t="s">
        <v>14</v>
      </c>
      <c r="J6" s="176">
        <f>N6*((I9-N5)/(I10-N5))</f>
        <v>1.3041095890410959E-2</v>
      </c>
      <c r="K6" s="177" t="s">
        <v>3</v>
      </c>
      <c r="L6" s="176">
        <f>XIRR(J9:J18,I9:I18)</f>
        <v>3.9944890141487138E-2</v>
      </c>
      <c r="M6" s="177" t="s">
        <v>0</v>
      </c>
      <c r="N6" s="176">
        <v>0.04</v>
      </c>
    </row>
    <row r="7" spans="1:15" x14ac:dyDescent="0.2">
      <c r="A7" s="163"/>
      <c r="B7" s="163"/>
      <c r="C7" s="163"/>
      <c r="D7" s="163"/>
      <c r="E7" s="163"/>
      <c r="F7" s="163"/>
      <c r="G7" s="163"/>
      <c r="I7" s="163"/>
      <c r="J7" s="163"/>
      <c r="K7" s="163"/>
      <c r="L7" s="163"/>
      <c r="M7" s="163"/>
      <c r="N7" s="163"/>
      <c r="O7" s="163"/>
    </row>
    <row r="8" spans="1:15" x14ac:dyDescent="0.2">
      <c r="A8" s="175"/>
      <c r="B8" s="173" t="s">
        <v>139</v>
      </c>
      <c r="C8" s="173" t="s">
        <v>138</v>
      </c>
      <c r="D8" s="173" t="s">
        <v>137</v>
      </c>
      <c r="E8" s="173" t="s">
        <v>136</v>
      </c>
      <c r="F8" s="173" t="s">
        <v>135</v>
      </c>
      <c r="G8" s="173" t="s">
        <v>134</v>
      </c>
      <c r="J8" s="174" t="s">
        <v>139</v>
      </c>
      <c r="K8" s="173" t="s">
        <v>138</v>
      </c>
      <c r="L8" s="173" t="s">
        <v>137</v>
      </c>
      <c r="M8" s="173" t="s">
        <v>136</v>
      </c>
      <c r="N8" s="173" t="s">
        <v>135</v>
      </c>
      <c r="O8" s="173" t="s">
        <v>134</v>
      </c>
    </row>
    <row r="9" spans="1:15" x14ac:dyDescent="0.2">
      <c r="A9" s="170">
        <v>44526</v>
      </c>
      <c r="B9" s="196">
        <f>-D5</f>
        <v>-1.013041095890411</v>
      </c>
      <c r="C9" s="163"/>
      <c r="D9" s="163"/>
      <c r="E9" s="163"/>
      <c r="F9" s="163"/>
      <c r="G9" s="163"/>
      <c r="I9" s="170">
        <f>+A9</f>
        <v>44526</v>
      </c>
      <c r="J9" s="195">
        <f>-L5</f>
        <v>-1.013041095890411</v>
      </c>
    </row>
    <row r="10" spans="1:15" x14ac:dyDescent="0.2">
      <c r="A10" s="170">
        <v>44772</v>
      </c>
      <c r="B10" s="168">
        <f>+F6</f>
        <v>0.04</v>
      </c>
      <c r="C10" s="167">
        <f>A10-A$9</f>
        <v>246</v>
      </c>
      <c r="D10" s="166">
        <f>+C10/(A10-F5)</f>
        <v>0.67397260273972603</v>
      </c>
      <c r="E10" s="164">
        <f>1/(1+D$6)^D10</f>
        <v>0.97398156086941001</v>
      </c>
      <c r="F10" s="165">
        <f>+E10*B10</f>
        <v>3.8959262434776404E-2</v>
      </c>
      <c r="G10" s="164">
        <f>+F10*D10</f>
        <v>2.6257475503986289E-2</v>
      </c>
      <c r="I10" s="194">
        <f>+A10</f>
        <v>44772</v>
      </c>
      <c r="J10" s="193">
        <f>+N6</f>
        <v>0.04</v>
      </c>
      <c r="K10" s="192">
        <f t="shared" ref="K10:K18" si="0">I10-I$9</f>
        <v>246</v>
      </c>
      <c r="L10" s="191">
        <f>+K10/(I10-N5)</f>
        <v>0.67397260273972603</v>
      </c>
      <c r="M10" s="189">
        <f t="shared" ref="M10:M18" si="1">1/(1+L$6)^L10</f>
        <v>0.97394740944870739</v>
      </c>
      <c r="N10" s="190">
        <f t="shared" ref="N10:N18" si="2">+M10*J10</f>
        <v>3.8957896377948296E-2</v>
      </c>
      <c r="O10" s="189">
        <f t="shared" ref="O10:O18" si="3">+N10*L10</f>
        <v>2.6256554819110357E-2</v>
      </c>
    </row>
    <row r="11" spans="1:15" x14ac:dyDescent="0.2">
      <c r="A11" s="170">
        <f>EDATE(A10,12)</f>
        <v>45137</v>
      </c>
      <c r="B11" s="168">
        <f>+B10</f>
        <v>0.04</v>
      </c>
      <c r="C11" s="167">
        <f>A11-A$9</f>
        <v>611</v>
      </c>
      <c r="D11" s="166">
        <f>+C11/(A11-A10)</f>
        <v>1.6739726027397259</v>
      </c>
      <c r="E11" s="164">
        <f>1/(1+D$6)^D11</f>
        <v>0.93661908831232799</v>
      </c>
      <c r="F11" s="165">
        <f>+E11*B11</f>
        <v>3.7464763532493117E-2</v>
      </c>
      <c r="G11" s="164">
        <f>+F11*D11</f>
        <v>6.2714987721515875E-2</v>
      </c>
      <c r="I11" s="170">
        <f t="shared" ref="I11:I17" si="4">EDATE(I10,12)</f>
        <v>45137</v>
      </c>
      <c r="J11" s="193">
        <f t="shared" ref="J11:J17" si="5">+J10</f>
        <v>0.04</v>
      </c>
      <c r="K11" s="192">
        <f t="shared" si="0"/>
        <v>611</v>
      </c>
      <c r="L11" s="191">
        <f t="shared" ref="L11:L17" si="6">+K11/(I11-I10)</f>
        <v>1.6739726027397259</v>
      </c>
      <c r="M11" s="189">
        <f t="shared" si="1"/>
        <v>0.93653752105671617</v>
      </c>
      <c r="N11" s="190">
        <f t="shared" si="2"/>
        <v>3.7461500842268645E-2</v>
      </c>
      <c r="O11" s="189">
        <f t="shared" si="3"/>
        <v>6.2709526067468879E-2</v>
      </c>
    </row>
    <row r="12" spans="1:15" x14ac:dyDescent="0.2">
      <c r="A12" s="170">
        <f>EDATE(A11,12)</f>
        <v>45503</v>
      </c>
      <c r="B12" s="168">
        <f>+B11</f>
        <v>0.04</v>
      </c>
      <c r="C12" s="167">
        <f>A12-A$9</f>
        <v>977</v>
      </c>
      <c r="D12" s="166">
        <f>+C12/(A12-A11)</f>
        <v>2.6693989071038251</v>
      </c>
      <c r="E12" s="164">
        <f>1/(1+D$6)^D12</f>
        <v>0.90085101170162829</v>
      </c>
      <c r="F12" s="165">
        <f>+E12*B12</f>
        <v>3.6034040468065132E-2</v>
      </c>
      <c r="G12" s="164">
        <f>+F12*D12</f>
        <v>9.6189228243988067E-2</v>
      </c>
      <c r="I12" s="170">
        <f t="shared" si="4"/>
        <v>45503</v>
      </c>
      <c r="J12" s="193">
        <f t="shared" si="5"/>
        <v>0.04</v>
      </c>
      <c r="K12" s="192">
        <f t="shared" si="0"/>
        <v>977</v>
      </c>
      <c r="L12" s="191">
        <f t="shared" si="6"/>
        <v>2.6693989071038251</v>
      </c>
      <c r="M12" s="189">
        <f t="shared" si="1"/>
        <v>0.90072591101205324</v>
      </c>
      <c r="N12" s="190">
        <f t="shared" si="2"/>
        <v>3.602903644048213E-2</v>
      </c>
      <c r="O12" s="189">
        <f t="shared" si="3"/>
        <v>9.6175870498226887E-2</v>
      </c>
    </row>
    <row r="13" spans="1:15" x14ac:dyDescent="0.2">
      <c r="A13" s="170">
        <f>+A12</f>
        <v>45503</v>
      </c>
      <c r="B13" s="168">
        <v>1</v>
      </c>
      <c r="C13" s="167">
        <f>A13-A$9</f>
        <v>977</v>
      </c>
      <c r="D13" s="166">
        <f>+C13/365</f>
        <v>2.6767123287671235</v>
      </c>
      <c r="E13" s="164">
        <f>1/(1+D$6)^D13</f>
        <v>0.90059334249547285</v>
      </c>
      <c r="F13" s="165">
        <f>+E13*B13</f>
        <v>0.90059334249547285</v>
      </c>
      <c r="G13" s="164">
        <f>+F13*D13</f>
        <v>2.4106293030632249</v>
      </c>
      <c r="I13" s="170">
        <f t="shared" si="4"/>
        <v>45868</v>
      </c>
      <c r="J13" s="193">
        <f t="shared" si="5"/>
        <v>0.04</v>
      </c>
      <c r="K13" s="192">
        <f t="shared" si="0"/>
        <v>1342</v>
      </c>
      <c r="L13" s="191">
        <f t="shared" si="6"/>
        <v>3.6767123287671235</v>
      </c>
      <c r="M13" s="189">
        <f t="shared" si="1"/>
        <v>0.86588043607392073</v>
      </c>
      <c r="N13" s="190">
        <f t="shared" si="2"/>
        <v>3.4635217442956827E-2</v>
      </c>
      <c r="O13" s="189">
        <f t="shared" si="3"/>
        <v>0.12734373098204949</v>
      </c>
    </row>
    <row r="14" spans="1:15" x14ac:dyDescent="0.2">
      <c r="A14" s="163"/>
      <c r="B14" s="163"/>
      <c r="C14" s="163"/>
      <c r="D14" s="161" t="s">
        <v>133</v>
      </c>
      <c r="E14" s="161">
        <f>YEARFRAC(A9,A13,3)</f>
        <v>2.6767123287671235</v>
      </c>
      <c r="F14" s="161" t="s">
        <v>1</v>
      </c>
      <c r="G14" s="161">
        <f>SUM(G10:G13)/D5</f>
        <v>2.562374818813395</v>
      </c>
      <c r="I14" s="170">
        <f t="shared" si="4"/>
        <v>46233</v>
      </c>
      <c r="J14" s="193">
        <f t="shared" si="5"/>
        <v>0.04</v>
      </c>
      <c r="K14" s="192">
        <f t="shared" si="0"/>
        <v>1707</v>
      </c>
      <c r="L14" s="191">
        <f t="shared" si="6"/>
        <v>4.6767123287671231</v>
      </c>
      <c r="M14" s="189">
        <f t="shared" si="1"/>
        <v>0.83262146319706953</v>
      </c>
      <c r="N14" s="190">
        <f t="shared" si="2"/>
        <v>3.3304858527882779E-2</v>
      </c>
      <c r="O14" s="189">
        <f t="shared" si="3"/>
        <v>0.15575724248519424</v>
      </c>
    </row>
    <row r="15" spans="1:15" x14ac:dyDescent="0.2">
      <c r="I15" s="170">
        <f t="shared" si="4"/>
        <v>46598</v>
      </c>
      <c r="J15" s="193">
        <f t="shared" si="5"/>
        <v>0.04</v>
      </c>
      <c r="K15" s="192">
        <f t="shared" si="0"/>
        <v>2072</v>
      </c>
      <c r="L15" s="191">
        <f t="shared" si="6"/>
        <v>5.6767123287671231</v>
      </c>
      <c r="M15" s="189">
        <f t="shared" si="1"/>
        <v>0.80063998687833271</v>
      </c>
      <c r="N15" s="190">
        <f t="shared" si="2"/>
        <v>3.202559947513331E-2</v>
      </c>
      <c r="O15" s="189">
        <f t="shared" si="3"/>
        <v>0.18180011537664717</v>
      </c>
    </row>
    <row r="16" spans="1:15" x14ac:dyDescent="0.2">
      <c r="I16" s="170">
        <f t="shared" si="4"/>
        <v>46964</v>
      </c>
      <c r="J16" s="193">
        <f t="shared" si="5"/>
        <v>0.04</v>
      </c>
      <c r="K16" s="192">
        <f t="shared" si="0"/>
        <v>2438</v>
      </c>
      <c r="L16" s="191">
        <f t="shared" si="6"/>
        <v>6.6612021857923498</v>
      </c>
      <c r="M16" s="189">
        <f t="shared" si="1"/>
        <v>0.77035478379708833</v>
      </c>
      <c r="N16" s="190">
        <f t="shared" si="2"/>
        <v>3.0814191351883534E-2</v>
      </c>
      <c r="O16" s="189">
        <f t="shared" si="3"/>
        <v>0.20525955878659033</v>
      </c>
    </row>
    <row r="17" spans="1:15" x14ac:dyDescent="0.2">
      <c r="I17" s="170">
        <f t="shared" si="4"/>
        <v>47329</v>
      </c>
      <c r="J17" s="193">
        <f t="shared" si="5"/>
        <v>0.04</v>
      </c>
      <c r="K17" s="192">
        <f t="shared" si="0"/>
        <v>2803</v>
      </c>
      <c r="L17" s="191">
        <f t="shared" si="6"/>
        <v>7.6794520547945204</v>
      </c>
      <c r="M17" s="189">
        <f t="shared" si="1"/>
        <v>0.74023569306033776</v>
      </c>
      <c r="N17" s="190">
        <f t="shared" si="2"/>
        <v>2.9609427722413512E-2</v>
      </c>
      <c r="O17" s="189">
        <f t="shared" si="3"/>
        <v>0.22738418056417828</v>
      </c>
    </row>
    <row r="18" spans="1:15" x14ac:dyDescent="0.2">
      <c r="I18" s="170">
        <f>+I17</f>
        <v>47329</v>
      </c>
      <c r="J18" s="193">
        <v>1</v>
      </c>
      <c r="K18" s="192">
        <f t="shared" si="0"/>
        <v>2803</v>
      </c>
      <c r="L18" s="191">
        <f>L17</f>
        <v>7.6794520547945204</v>
      </c>
      <c r="M18" s="189">
        <f t="shared" si="1"/>
        <v>0.74023569306033776</v>
      </c>
      <c r="N18" s="190">
        <f t="shared" si="2"/>
        <v>0.74023569306033776</v>
      </c>
      <c r="O18" s="189">
        <f t="shared" si="3"/>
        <v>5.684604514104457</v>
      </c>
    </row>
    <row r="19" spans="1:15" x14ac:dyDescent="0.2">
      <c r="L19" s="161" t="s">
        <v>133</v>
      </c>
      <c r="M19" s="161">
        <f>YEARFRAC(I9,I18,3)</f>
        <v>7.6794520547945204</v>
      </c>
      <c r="N19" s="161" t="s">
        <v>1</v>
      </c>
      <c r="O19" s="161">
        <f>SUM(O10:O18)/L5</f>
        <v>6.6801744974973811</v>
      </c>
    </row>
    <row r="21" spans="1:15" x14ac:dyDescent="0.2">
      <c r="A21" s="291" t="s">
        <v>143</v>
      </c>
      <c r="B21" s="291"/>
      <c r="C21" s="291"/>
      <c r="D21" s="291"/>
      <c r="E21" s="291"/>
      <c r="F21" s="291"/>
      <c r="G21" s="291"/>
      <c r="H21" s="291"/>
      <c r="I21" s="291"/>
      <c r="J21" s="291"/>
      <c r="K21" s="291"/>
      <c r="L21" s="291"/>
      <c r="M21" s="291"/>
      <c r="N21" s="291"/>
      <c r="O21" s="291"/>
    </row>
    <row r="22" spans="1:15" x14ac:dyDescent="0.2">
      <c r="A22" s="180"/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</row>
    <row r="23" spans="1:15" x14ac:dyDescent="0.2">
      <c r="A23" s="292" t="s">
        <v>145</v>
      </c>
      <c r="B23" s="292"/>
      <c r="C23" s="292"/>
      <c r="D23" s="292"/>
      <c r="E23" s="199">
        <v>45503</v>
      </c>
      <c r="F23" s="197"/>
      <c r="G23" s="197"/>
      <c r="I23" s="292" t="s">
        <v>145</v>
      </c>
      <c r="J23" s="292"/>
      <c r="K23" s="292"/>
      <c r="L23" s="292"/>
      <c r="M23" s="199">
        <v>45503</v>
      </c>
      <c r="N23" s="197"/>
      <c r="O23" s="197"/>
    </row>
    <row r="24" spans="1:15" x14ac:dyDescent="0.2">
      <c r="A24" s="163"/>
      <c r="B24" s="163"/>
      <c r="C24" s="163"/>
      <c r="D24" s="163"/>
      <c r="E24" s="163"/>
      <c r="F24" s="163"/>
      <c r="G24" s="163"/>
      <c r="I24" s="163"/>
      <c r="J24" s="163"/>
      <c r="K24" s="163"/>
      <c r="L24" s="163"/>
      <c r="M24" s="163"/>
      <c r="N24" s="163"/>
      <c r="O24" s="163"/>
    </row>
    <row r="25" spans="1:15" x14ac:dyDescent="0.2">
      <c r="A25" s="177" t="s">
        <v>140</v>
      </c>
      <c r="B25" s="179">
        <v>1</v>
      </c>
      <c r="C25" s="177" t="s">
        <v>7</v>
      </c>
      <c r="D25" s="176">
        <f>+B25+B26</f>
        <v>1.013041095890411</v>
      </c>
      <c r="E25" s="177" t="s">
        <v>12</v>
      </c>
      <c r="F25" s="178">
        <f>+F5</f>
        <v>44407</v>
      </c>
      <c r="I25" s="177" t="s">
        <v>140</v>
      </c>
      <c r="J25" s="179">
        <v>1</v>
      </c>
      <c r="K25" s="177" t="s">
        <v>7</v>
      </c>
      <c r="L25" s="176">
        <f>+J25+J26</f>
        <v>1.0260821917808218</v>
      </c>
      <c r="M25" s="177" t="s">
        <v>12</v>
      </c>
      <c r="N25" s="178">
        <f>+F25</f>
        <v>44407</v>
      </c>
    </row>
    <row r="26" spans="1:15" x14ac:dyDescent="0.2">
      <c r="A26" s="177" t="s">
        <v>14</v>
      </c>
      <c r="B26" s="176">
        <f>F26*((A29-F25)/(A30-F25))</f>
        <v>1.3041095890410959E-2</v>
      </c>
      <c r="C26" s="177" t="s">
        <v>3</v>
      </c>
      <c r="D26" s="176">
        <f>XIRR(B29:B33,A29:A33)</f>
        <v>3.9890787005424505E-2</v>
      </c>
      <c r="E26" s="177" t="s">
        <v>0</v>
      </c>
      <c r="F26" s="176">
        <v>0.04</v>
      </c>
      <c r="I26" s="177" t="s">
        <v>14</v>
      </c>
      <c r="J26" s="176">
        <f>N26*((I29-N25)/(I30-N25))</f>
        <v>2.6082191780821919E-2</v>
      </c>
      <c r="K26" s="177" t="s">
        <v>3</v>
      </c>
      <c r="L26" s="176">
        <f>XIRR(J29:J33,I29:I33)</f>
        <v>7.9632446169853224E-2</v>
      </c>
      <c r="M26" s="177" t="s">
        <v>0</v>
      </c>
      <c r="N26" s="176">
        <v>0.08</v>
      </c>
    </row>
    <row r="27" spans="1:15" x14ac:dyDescent="0.2">
      <c r="A27" s="163"/>
      <c r="B27" s="163"/>
      <c r="C27" s="163"/>
      <c r="D27" s="163"/>
      <c r="E27" s="163"/>
      <c r="F27" s="163"/>
      <c r="G27" s="163"/>
      <c r="I27" s="163"/>
      <c r="J27" s="163"/>
      <c r="K27" s="163"/>
      <c r="L27" s="163"/>
      <c r="M27" s="163"/>
      <c r="N27" s="163"/>
      <c r="O27" s="163"/>
    </row>
    <row r="28" spans="1:15" x14ac:dyDescent="0.2">
      <c r="A28" s="175"/>
      <c r="B28" s="173" t="s">
        <v>139</v>
      </c>
      <c r="C28" s="173" t="s">
        <v>138</v>
      </c>
      <c r="D28" s="173" t="s">
        <v>137</v>
      </c>
      <c r="E28" s="173" t="s">
        <v>136</v>
      </c>
      <c r="F28" s="173" t="s">
        <v>135</v>
      </c>
      <c r="G28" s="173" t="s">
        <v>134</v>
      </c>
      <c r="J28" s="174" t="s">
        <v>139</v>
      </c>
      <c r="K28" s="173" t="s">
        <v>138</v>
      </c>
      <c r="L28" s="173" t="s">
        <v>137</v>
      </c>
      <c r="M28" s="173" t="s">
        <v>136</v>
      </c>
      <c r="N28" s="173" t="s">
        <v>135</v>
      </c>
      <c r="O28" s="173" t="s">
        <v>134</v>
      </c>
    </row>
    <row r="29" spans="1:15" x14ac:dyDescent="0.2">
      <c r="A29" s="170">
        <f>+A9</f>
        <v>44526</v>
      </c>
      <c r="B29" s="188">
        <f>-D25</f>
        <v>-1.013041095890411</v>
      </c>
      <c r="C29" s="187"/>
      <c r="D29" s="187"/>
      <c r="E29" s="187"/>
      <c r="F29" s="187"/>
      <c r="G29" s="187"/>
      <c r="I29" s="170">
        <f>+A29</f>
        <v>44526</v>
      </c>
      <c r="J29" s="172">
        <f>-L25</f>
        <v>-1.0260821917808218</v>
      </c>
      <c r="K29" s="163"/>
      <c r="L29" s="163"/>
      <c r="M29" s="163"/>
      <c r="N29" s="163"/>
      <c r="O29" s="163"/>
    </row>
    <row r="30" spans="1:15" x14ac:dyDescent="0.2">
      <c r="A30" s="170">
        <f t="shared" ref="A30:A33" si="7">+A10</f>
        <v>44772</v>
      </c>
      <c r="B30" s="168">
        <f>+F26</f>
        <v>0.04</v>
      </c>
      <c r="C30" s="167">
        <f>A30-A$9</f>
        <v>246</v>
      </c>
      <c r="D30" s="166">
        <f>+C30/(A30-F25)</f>
        <v>0.67397260273972603</v>
      </c>
      <c r="E30" s="164">
        <f>1/(1+D$26)^D30</f>
        <v>0.97398156086941001</v>
      </c>
      <c r="F30" s="165">
        <f>+E30*B30</f>
        <v>3.8959262434776404E-2</v>
      </c>
      <c r="G30" s="164">
        <f>+F30*D30</f>
        <v>2.6257475503986289E-2</v>
      </c>
      <c r="I30" s="170">
        <f t="shared" ref="I30:I33" si="8">+A30</f>
        <v>44772</v>
      </c>
      <c r="J30" s="168">
        <f>+N26</f>
        <v>0.08</v>
      </c>
      <c r="K30" s="167">
        <f>I30-I$9</f>
        <v>246</v>
      </c>
      <c r="L30" s="166">
        <f>+K30/(I30-N25)</f>
        <v>0.67397260273972603</v>
      </c>
      <c r="M30" s="164">
        <f>1/(1+L$26)^L30</f>
        <v>0.94967047529350057</v>
      </c>
      <c r="N30" s="165">
        <f>+M30*J30</f>
        <v>7.5973638023480047E-2</v>
      </c>
      <c r="O30" s="164">
        <f>+N30*L30</f>
        <v>5.1204150558290661E-2</v>
      </c>
    </row>
    <row r="31" spans="1:15" x14ac:dyDescent="0.2">
      <c r="A31" s="170">
        <f t="shared" si="7"/>
        <v>45137</v>
      </c>
      <c r="B31" s="168">
        <f>+B30</f>
        <v>0.04</v>
      </c>
      <c r="C31" s="167">
        <f>A31-A$9</f>
        <v>611</v>
      </c>
      <c r="D31" s="166">
        <f>+C31/(A31-A30)</f>
        <v>1.6739726027397259</v>
      </c>
      <c r="E31" s="164">
        <f>1/(1+D$26)^D31</f>
        <v>0.93661908831232799</v>
      </c>
      <c r="F31" s="165">
        <f>+E31*B31</f>
        <v>3.7464763532493117E-2</v>
      </c>
      <c r="G31" s="164">
        <f>+F31*D31</f>
        <v>6.2714987721515875E-2</v>
      </c>
      <c r="I31" s="170">
        <f t="shared" si="8"/>
        <v>45137</v>
      </c>
      <c r="J31" s="168">
        <f>+J30</f>
        <v>0.08</v>
      </c>
      <c r="K31" s="167">
        <f>I31-I$9</f>
        <v>611</v>
      </c>
      <c r="L31" s="166">
        <f>+K31/(I31-I30)</f>
        <v>1.6739726027397259</v>
      </c>
      <c r="M31" s="164">
        <f>1/(1+L$26)^L31</f>
        <v>0.87962387446078438</v>
      </c>
      <c r="N31" s="165">
        <f>+M31*J31</f>
        <v>7.036990995686275E-2</v>
      </c>
      <c r="O31" s="164">
        <f>+N31*L31</f>
        <v>0.11779730132504969</v>
      </c>
    </row>
    <row r="32" spans="1:15" x14ac:dyDescent="0.2">
      <c r="A32" s="170">
        <f t="shared" si="7"/>
        <v>45503</v>
      </c>
      <c r="B32" s="168">
        <f>+B31</f>
        <v>0.04</v>
      </c>
      <c r="C32" s="167">
        <f>A32-A$9</f>
        <v>977</v>
      </c>
      <c r="D32" s="166">
        <f>+C32/(A32-A31)</f>
        <v>2.6693989071038251</v>
      </c>
      <c r="E32" s="164">
        <f>1/(1+D$26)^D32</f>
        <v>0.90085101170162829</v>
      </c>
      <c r="F32" s="165">
        <f>+E32*B32</f>
        <v>3.6034040468065132E-2</v>
      </c>
      <c r="G32" s="164">
        <f>+F32*D32</f>
        <v>9.6189228243988067E-2</v>
      </c>
      <c r="I32" s="170">
        <f t="shared" si="8"/>
        <v>45503</v>
      </c>
      <c r="J32" s="168">
        <f>+J31</f>
        <v>0.08</v>
      </c>
      <c r="K32" s="167">
        <f>I32-I$9</f>
        <v>977</v>
      </c>
      <c r="L32" s="166">
        <f>+K32/(I32-I31)</f>
        <v>2.6693989071038251</v>
      </c>
      <c r="M32" s="164">
        <f>1/(1+L$26)^L32</f>
        <v>0.81502939875788949</v>
      </c>
      <c r="N32" s="165">
        <f>+M32*J32</f>
        <v>6.5202351900631159E-2</v>
      </c>
      <c r="O32" s="164">
        <f>+N32*L32</f>
        <v>0.17405108690414384</v>
      </c>
    </row>
    <row r="33" spans="1:15" x14ac:dyDescent="0.2">
      <c r="A33" s="170">
        <f t="shared" si="7"/>
        <v>45503</v>
      </c>
      <c r="B33" s="168">
        <v>1</v>
      </c>
      <c r="C33" s="167">
        <f>A33-A$9</f>
        <v>977</v>
      </c>
      <c r="D33" s="166">
        <f>+C33/365</f>
        <v>2.6767123287671235</v>
      </c>
      <c r="E33" s="164">
        <f>1/(1+D$26)^D33</f>
        <v>0.90059334249547285</v>
      </c>
      <c r="F33" s="165">
        <f>+E33*B33</f>
        <v>0.90059334249547285</v>
      </c>
      <c r="G33" s="164">
        <f>+F33*D33</f>
        <v>2.4106293030632249</v>
      </c>
      <c r="I33" s="170">
        <f t="shared" si="8"/>
        <v>45503</v>
      </c>
      <c r="J33" s="168">
        <v>1</v>
      </c>
      <c r="K33" s="167">
        <f>I33-I$9</f>
        <v>977</v>
      </c>
      <c r="L33" s="166">
        <f>+K33/365</f>
        <v>2.6767123287671235</v>
      </c>
      <c r="M33" s="164">
        <f>1/(1+L$26)^L33</f>
        <v>0.81457281750331678</v>
      </c>
      <c r="N33" s="165">
        <f>+M33*J33</f>
        <v>0.81457281750331678</v>
      </c>
      <c r="O33" s="164">
        <f>+N33*L33</f>
        <v>2.1803771032897004</v>
      </c>
    </row>
    <row r="34" spans="1:15" x14ac:dyDescent="0.2">
      <c r="A34" s="163"/>
      <c r="B34" s="163"/>
      <c r="C34" s="163"/>
      <c r="D34" s="161" t="s">
        <v>133</v>
      </c>
      <c r="E34" s="161">
        <f>YEARFRAC(A29,A33,3)</f>
        <v>2.6767123287671235</v>
      </c>
      <c r="F34" s="161" t="s">
        <v>1</v>
      </c>
      <c r="G34" s="161">
        <f>SUM(G30:G33)/D25</f>
        <v>2.562374818813395</v>
      </c>
      <c r="I34" s="163"/>
      <c r="J34" s="163"/>
      <c r="K34" s="163"/>
      <c r="L34" s="161" t="s">
        <v>133</v>
      </c>
      <c r="M34" s="161">
        <f>YEARFRAC(I29,I33,3)</f>
        <v>2.6767123287671235</v>
      </c>
      <c r="N34" s="161" t="s">
        <v>1</v>
      </c>
      <c r="O34" s="161">
        <f>SUM(O30:O33)/L25</f>
        <v>2.4592860711261677</v>
      </c>
    </row>
    <row r="35" spans="1:15" x14ac:dyDescent="0.2">
      <c r="I35" s="186"/>
      <c r="J35" s="186"/>
      <c r="K35" s="186"/>
      <c r="L35" s="186"/>
      <c r="M35" s="186"/>
      <c r="N35" s="186"/>
      <c r="O35" s="186"/>
    </row>
    <row r="36" spans="1:15" x14ac:dyDescent="0.2">
      <c r="I36" s="186"/>
      <c r="J36" s="185"/>
      <c r="K36" s="184"/>
      <c r="L36" s="183"/>
      <c r="M36" s="181"/>
      <c r="N36" s="182"/>
      <c r="O36" s="181"/>
    </row>
    <row r="37" spans="1:15" x14ac:dyDescent="0.2">
      <c r="A37" s="291" t="s">
        <v>142</v>
      </c>
      <c r="B37" s="291"/>
      <c r="C37" s="291"/>
      <c r="D37" s="291"/>
      <c r="E37" s="291"/>
      <c r="F37" s="291"/>
      <c r="G37" s="291"/>
      <c r="H37" s="291"/>
      <c r="I37" s="291"/>
      <c r="J37" s="291"/>
      <c r="K37" s="291"/>
      <c r="L37" s="291"/>
      <c r="M37" s="291"/>
      <c r="N37" s="291"/>
      <c r="O37" s="291"/>
    </row>
    <row r="38" spans="1:15" x14ac:dyDescent="0.2">
      <c r="A38" s="180"/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</row>
    <row r="39" spans="1:15" x14ac:dyDescent="0.2">
      <c r="A39" s="292" t="s">
        <v>145</v>
      </c>
      <c r="B39" s="292"/>
      <c r="C39" s="292"/>
      <c r="D39" s="292"/>
      <c r="E39" s="199">
        <v>46233</v>
      </c>
      <c r="F39" s="197" t="s">
        <v>146</v>
      </c>
      <c r="G39" s="197"/>
      <c r="I39" s="292" t="s">
        <v>145</v>
      </c>
      <c r="J39" s="292"/>
      <c r="K39" s="292"/>
      <c r="L39" s="292"/>
      <c r="M39" s="199">
        <v>46233</v>
      </c>
      <c r="N39" s="197" t="s">
        <v>147</v>
      </c>
      <c r="O39" s="197"/>
    </row>
    <row r="40" spans="1:15" x14ac:dyDescent="0.2">
      <c r="A40" s="163"/>
      <c r="B40" s="163"/>
      <c r="C40" s="163"/>
      <c r="D40" s="163"/>
      <c r="E40" s="163"/>
      <c r="F40" s="163"/>
      <c r="G40" s="163"/>
      <c r="I40" s="163"/>
      <c r="J40" s="163"/>
      <c r="K40" s="163"/>
      <c r="L40" s="163"/>
      <c r="M40" s="163"/>
      <c r="N40" s="163"/>
      <c r="O40" s="163"/>
    </row>
    <row r="41" spans="1:15" x14ac:dyDescent="0.2">
      <c r="A41" s="177" t="s">
        <v>140</v>
      </c>
      <c r="B41" s="179">
        <v>1</v>
      </c>
      <c r="C41" s="177" t="s">
        <v>7</v>
      </c>
      <c r="D41" s="176">
        <f>+B41+B42</f>
        <v>1.013041095890411</v>
      </c>
      <c r="E41" s="177" t="s">
        <v>12</v>
      </c>
      <c r="F41" s="178">
        <f>+F25</f>
        <v>44407</v>
      </c>
      <c r="I41" s="177" t="s">
        <v>140</v>
      </c>
      <c r="J41" s="179">
        <v>1</v>
      </c>
      <c r="K41" s="177" t="s">
        <v>7</v>
      </c>
      <c r="L41" s="176">
        <f>+J41+J42</f>
        <v>1.013041095890411</v>
      </c>
      <c r="M41" s="177" t="s">
        <v>12</v>
      </c>
      <c r="N41" s="178">
        <f>+F41</f>
        <v>44407</v>
      </c>
    </row>
    <row r="42" spans="1:15" x14ac:dyDescent="0.2">
      <c r="A42" s="177" t="s">
        <v>14</v>
      </c>
      <c r="B42" s="176">
        <f>F42*((A45-F41)/(A46-F41))</f>
        <v>1.3041095890410959E-2</v>
      </c>
      <c r="C42" s="177" t="s">
        <v>3</v>
      </c>
      <c r="D42" s="176">
        <f>XIRR(B45:B55,A45:A55)</f>
        <v>7.4454912543296822E-2</v>
      </c>
      <c r="E42" s="177" t="s">
        <v>0</v>
      </c>
      <c r="F42" s="176">
        <v>0.04</v>
      </c>
      <c r="I42" s="177" t="s">
        <v>14</v>
      </c>
      <c r="J42" s="176">
        <f>N42*((I45-N41)/(I46-N41))</f>
        <v>1.3041095890410959E-2</v>
      </c>
      <c r="K42" s="177" t="s">
        <v>3</v>
      </c>
      <c r="L42" s="176">
        <f>XIRR(J45:J55,I45:I55)</f>
        <v>3.9935013651847845E-2</v>
      </c>
      <c r="M42" s="177" t="s">
        <v>0</v>
      </c>
      <c r="N42" s="176">
        <v>0.04</v>
      </c>
    </row>
    <row r="43" spans="1:15" x14ac:dyDescent="0.2">
      <c r="A43" s="163"/>
      <c r="B43" s="163"/>
      <c r="C43" s="163"/>
      <c r="D43" s="163"/>
      <c r="E43" s="163"/>
      <c r="F43" s="163"/>
      <c r="G43" s="163"/>
      <c r="I43" s="163"/>
      <c r="J43" s="163"/>
      <c r="K43" s="163"/>
      <c r="L43" s="163"/>
      <c r="M43" s="163"/>
      <c r="N43" s="163"/>
      <c r="O43" s="163"/>
    </row>
    <row r="44" spans="1:15" x14ac:dyDescent="0.2">
      <c r="A44" s="175"/>
      <c r="B44" s="173" t="s">
        <v>139</v>
      </c>
      <c r="C44" s="173" t="s">
        <v>138</v>
      </c>
      <c r="D44" s="173" t="s">
        <v>137</v>
      </c>
      <c r="E44" s="173" t="s">
        <v>136</v>
      </c>
      <c r="F44" s="173" t="s">
        <v>135</v>
      </c>
      <c r="G44" s="173" t="s">
        <v>134</v>
      </c>
      <c r="J44" s="173" t="s">
        <v>139</v>
      </c>
      <c r="K44" s="173" t="s">
        <v>138</v>
      </c>
      <c r="L44" s="173" t="s">
        <v>137</v>
      </c>
      <c r="M44" s="173" t="s">
        <v>136</v>
      </c>
      <c r="N44" s="173" t="s">
        <v>135</v>
      </c>
      <c r="O44" s="173" t="s">
        <v>134</v>
      </c>
    </row>
    <row r="45" spans="1:15" x14ac:dyDescent="0.2">
      <c r="A45" s="170">
        <f>+A29</f>
        <v>44526</v>
      </c>
      <c r="B45" s="172">
        <f>-D41</f>
        <v>-1.013041095890411</v>
      </c>
      <c r="C45" s="163"/>
      <c r="D45" s="163"/>
      <c r="E45" s="163"/>
      <c r="F45" s="163"/>
      <c r="G45" s="163"/>
      <c r="I45" s="170">
        <f>+A45</f>
        <v>44526</v>
      </c>
      <c r="J45" s="171">
        <f>-L41</f>
        <v>-1.013041095890411</v>
      </c>
      <c r="K45" s="163"/>
      <c r="L45" s="163"/>
      <c r="M45" s="163"/>
      <c r="N45" s="163"/>
      <c r="O45" s="163"/>
    </row>
    <row r="46" spans="1:15" x14ac:dyDescent="0.2">
      <c r="A46" s="169">
        <f>+A30</f>
        <v>44772</v>
      </c>
      <c r="B46" s="168">
        <f>+F42</f>
        <v>0.04</v>
      </c>
      <c r="C46" s="167">
        <f t="shared" ref="C46:C55" si="9">A46-A$9</f>
        <v>246</v>
      </c>
      <c r="D46" s="166">
        <f t="shared" ref="D46:D55" si="10">+C46/365</f>
        <v>0.67397260273972603</v>
      </c>
      <c r="E46" s="164">
        <f t="shared" ref="E46:E55" si="11">1/(1+D$42)^D46</f>
        <v>0.95275231008764094</v>
      </c>
      <c r="F46" s="165">
        <f t="shared" ref="F46:F55" si="12">+E46*B46</f>
        <v>3.8110092403505637E-2</v>
      </c>
      <c r="G46" s="164">
        <f t="shared" ref="G46:G55" si="13">+F46*D46</f>
        <v>2.5685158167842156E-2</v>
      </c>
      <c r="I46" s="170">
        <f t="shared" ref="I46:I55" si="14">+A46</f>
        <v>44772</v>
      </c>
      <c r="J46" s="168">
        <f>+N42</f>
        <v>0.04</v>
      </c>
      <c r="K46" s="167">
        <f>I46-I$9</f>
        <v>246</v>
      </c>
      <c r="L46" s="166">
        <f>+K46/365</f>
        <v>0.67397260273972603</v>
      </c>
      <c r="M46" s="164">
        <f>1/(1+L$42)^L46</f>
        <v>0.97395364354475067</v>
      </c>
      <c r="N46" s="165">
        <f>+M46*J46</f>
        <v>3.8958145741790025E-2</v>
      </c>
      <c r="O46" s="164">
        <f>+N46*L46</f>
        <v>2.6256722883507798E-2</v>
      </c>
    </row>
    <row r="47" spans="1:15" x14ac:dyDescent="0.2">
      <c r="A47" s="169">
        <f t="shared" ref="A47:A54" si="15">EDATE(A46,6)</f>
        <v>44956</v>
      </c>
      <c r="B47" s="168">
        <f t="shared" ref="B47:B54" si="16">+B46</f>
        <v>0.04</v>
      </c>
      <c r="C47" s="167">
        <f t="shared" si="9"/>
        <v>430</v>
      </c>
      <c r="D47" s="166">
        <f t="shared" si="10"/>
        <v>1.178082191780822</v>
      </c>
      <c r="E47" s="164">
        <f t="shared" si="11"/>
        <v>0.91887776342735872</v>
      </c>
      <c r="F47" s="165">
        <f t="shared" si="12"/>
        <v>3.6755110537094349E-2</v>
      </c>
      <c r="G47" s="164">
        <f t="shared" si="13"/>
        <v>4.3300541180686491E-2</v>
      </c>
      <c r="I47" s="170">
        <f t="shared" si="14"/>
        <v>44956</v>
      </c>
      <c r="J47" s="168"/>
      <c r="K47" s="167"/>
      <c r="L47" s="166"/>
      <c r="M47" s="164"/>
      <c r="N47" s="165"/>
      <c r="O47" s="164"/>
    </row>
    <row r="48" spans="1:15" x14ac:dyDescent="0.2">
      <c r="A48" s="169">
        <f t="shared" si="15"/>
        <v>45137</v>
      </c>
      <c r="B48" s="168">
        <f t="shared" si="16"/>
        <v>0.04</v>
      </c>
      <c r="C48" s="167">
        <f t="shared" si="9"/>
        <v>611</v>
      </c>
      <c r="D48" s="166">
        <f t="shared" si="10"/>
        <v>1.6739726027397259</v>
      </c>
      <c r="E48" s="164">
        <f t="shared" si="11"/>
        <v>0.88673084274185265</v>
      </c>
      <c r="F48" s="165">
        <f t="shared" si="12"/>
        <v>3.5469233709674107E-2</v>
      </c>
      <c r="G48" s="164">
        <f t="shared" si="13"/>
        <v>5.9374525470166792E-2</v>
      </c>
      <c r="I48" s="170">
        <f t="shared" si="14"/>
        <v>45137</v>
      </c>
      <c r="J48" s="168">
        <f>+J46</f>
        <v>0.04</v>
      </c>
      <c r="K48" s="167">
        <f>I48-I$9</f>
        <v>611</v>
      </c>
      <c r="L48" s="166">
        <f>+K48/365</f>
        <v>1.6739726027397259</v>
      </c>
      <c r="M48" s="164">
        <f>1/(1+L$6)^L48</f>
        <v>0.93653752105671617</v>
      </c>
      <c r="N48" s="165">
        <f>+M48*J48</f>
        <v>3.7461500842268645E-2</v>
      </c>
      <c r="O48" s="164">
        <f>+N48*L48</f>
        <v>6.2709526067468879E-2</v>
      </c>
    </row>
    <row r="49" spans="1:15" x14ac:dyDescent="0.2">
      <c r="A49" s="169">
        <f t="shared" si="15"/>
        <v>45321</v>
      </c>
      <c r="B49" s="168">
        <f t="shared" si="16"/>
        <v>0.04</v>
      </c>
      <c r="C49" s="167">
        <f t="shared" si="9"/>
        <v>795</v>
      </c>
      <c r="D49" s="166">
        <f t="shared" si="10"/>
        <v>2.1780821917808217</v>
      </c>
      <c r="E49" s="164">
        <f t="shared" si="11"/>
        <v>0.85520365042803159</v>
      </c>
      <c r="F49" s="165">
        <f t="shared" si="12"/>
        <v>3.4208146017121265E-2</v>
      </c>
      <c r="G49" s="164">
        <f t="shared" si="13"/>
        <v>7.4508153653729869E-2</v>
      </c>
      <c r="I49" s="170">
        <f t="shared" si="14"/>
        <v>45321</v>
      </c>
      <c r="J49" s="168"/>
      <c r="K49" s="167"/>
      <c r="L49" s="166"/>
      <c r="M49" s="164"/>
      <c r="N49" s="165"/>
      <c r="O49" s="164"/>
    </row>
    <row r="50" spans="1:15" x14ac:dyDescent="0.2">
      <c r="A50" s="169">
        <f t="shared" si="15"/>
        <v>45503</v>
      </c>
      <c r="B50" s="168">
        <f t="shared" si="16"/>
        <v>0.04</v>
      </c>
      <c r="C50" s="167">
        <f t="shared" si="9"/>
        <v>977</v>
      </c>
      <c r="D50" s="166">
        <f t="shared" si="10"/>
        <v>2.6767123287671235</v>
      </c>
      <c r="E50" s="164">
        <f t="shared" si="11"/>
        <v>0.82512200924285417</v>
      </c>
      <c r="F50" s="165">
        <f t="shared" si="12"/>
        <v>3.3004880369714169E-2</v>
      </c>
      <c r="G50" s="164">
        <f t="shared" si="13"/>
        <v>8.8344570195097935E-2</v>
      </c>
      <c r="I50" s="170">
        <f t="shared" si="14"/>
        <v>45503</v>
      </c>
      <c r="J50" s="168">
        <f>+J48</f>
        <v>0.04</v>
      </c>
      <c r="K50" s="167">
        <f>I50-I$9</f>
        <v>977</v>
      </c>
      <c r="L50" s="166">
        <f>+K50/365</f>
        <v>2.6767123287671235</v>
      </c>
      <c r="M50" s="164">
        <f>1/(1+L$6)^L50</f>
        <v>0.90046793496855637</v>
      </c>
      <c r="N50" s="165">
        <f>+M50*J50</f>
        <v>3.6018717398742253E-2</v>
      </c>
      <c r="O50" s="164">
        <f>+N50*L50</f>
        <v>9.6411744927592288E-2</v>
      </c>
    </row>
    <row r="51" spans="1:15" x14ac:dyDescent="0.2">
      <c r="A51" s="169">
        <f t="shared" si="15"/>
        <v>45687</v>
      </c>
      <c r="B51" s="168">
        <f t="shared" si="16"/>
        <v>0.04</v>
      </c>
      <c r="C51" s="167">
        <f t="shared" si="9"/>
        <v>1161</v>
      </c>
      <c r="D51" s="166">
        <f t="shared" si="10"/>
        <v>3.1808219178082191</v>
      </c>
      <c r="E51" s="164">
        <f t="shared" si="11"/>
        <v>0.79578528268067794</v>
      </c>
      <c r="F51" s="165">
        <f t="shared" si="12"/>
        <v>3.1831411307227116E-2</v>
      </c>
      <c r="G51" s="164">
        <f t="shared" si="13"/>
        <v>0.10125005076079638</v>
      </c>
      <c r="I51" s="170">
        <f t="shared" si="14"/>
        <v>45687</v>
      </c>
      <c r="J51" s="168"/>
      <c r="K51" s="167"/>
      <c r="L51" s="166"/>
      <c r="M51" s="164"/>
      <c r="N51" s="165"/>
      <c r="O51" s="164"/>
    </row>
    <row r="52" spans="1:15" x14ac:dyDescent="0.2">
      <c r="A52" s="169">
        <f t="shared" si="15"/>
        <v>45868</v>
      </c>
      <c r="B52" s="168">
        <f t="shared" si="16"/>
        <v>0.04</v>
      </c>
      <c r="C52" s="167">
        <f t="shared" si="9"/>
        <v>1342</v>
      </c>
      <c r="D52" s="166">
        <f t="shared" si="10"/>
        <v>3.6767123287671235</v>
      </c>
      <c r="E52" s="164">
        <f t="shared" si="11"/>
        <v>0.76794475004050466</v>
      </c>
      <c r="F52" s="165">
        <f t="shared" si="12"/>
        <v>3.0717790001620188E-2</v>
      </c>
      <c r="G52" s="164">
        <f t="shared" si="13"/>
        <v>0.11294047721143642</v>
      </c>
      <c r="I52" s="170">
        <f t="shared" si="14"/>
        <v>45868</v>
      </c>
      <c r="J52" s="168">
        <f>+J50</f>
        <v>0.04</v>
      </c>
      <c r="K52" s="167">
        <f>I52-I$9</f>
        <v>1342</v>
      </c>
      <c r="L52" s="166">
        <f>+K52/365</f>
        <v>3.6767123287671235</v>
      </c>
      <c r="M52" s="164">
        <f>1/(1+L$6)^L52</f>
        <v>0.86588043607392073</v>
      </c>
      <c r="N52" s="165">
        <f>+M52*J52</f>
        <v>3.4635217442956827E-2</v>
      </c>
      <c r="O52" s="164">
        <f>+N52*L52</f>
        <v>0.12734373098204949</v>
      </c>
    </row>
    <row r="53" spans="1:15" x14ac:dyDescent="0.2">
      <c r="A53" s="169">
        <f t="shared" si="15"/>
        <v>46052</v>
      </c>
      <c r="B53" s="168">
        <f t="shared" si="16"/>
        <v>0.04</v>
      </c>
      <c r="C53" s="167">
        <f t="shared" si="9"/>
        <v>1526</v>
      </c>
      <c r="D53" s="166">
        <f t="shared" si="10"/>
        <v>4.1808219178082195</v>
      </c>
      <c r="E53" s="164">
        <f t="shared" si="11"/>
        <v>0.74064092721862873</v>
      </c>
      <c r="F53" s="165">
        <f t="shared" si="12"/>
        <v>2.962563708874515E-2</v>
      </c>
      <c r="G53" s="164">
        <f t="shared" si="13"/>
        <v>0.12385951286965781</v>
      </c>
      <c r="I53" s="170">
        <f t="shared" si="14"/>
        <v>46052</v>
      </c>
      <c r="J53" s="168"/>
      <c r="K53" s="167"/>
      <c r="L53" s="166"/>
      <c r="M53" s="164"/>
      <c r="N53" s="165"/>
      <c r="O53" s="164"/>
    </row>
    <row r="54" spans="1:15" x14ac:dyDescent="0.2">
      <c r="A54" s="169">
        <f t="shared" si="15"/>
        <v>46233</v>
      </c>
      <c r="B54" s="168">
        <f t="shared" si="16"/>
        <v>0.04</v>
      </c>
      <c r="C54" s="167">
        <f t="shared" si="9"/>
        <v>1707</v>
      </c>
      <c r="D54" s="166">
        <f t="shared" si="10"/>
        <v>4.6767123287671231</v>
      </c>
      <c r="E54" s="164">
        <f t="shared" si="11"/>
        <v>0.71472961878198782</v>
      </c>
      <c r="F54" s="165">
        <f t="shared" si="12"/>
        <v>2.8589184751279514E-2</v>
      </c>
      <c r="G54" s="164">
        <f t="shared" si="13"/>
        <v>0.13370339279570995</v>
      </c>
      <c r="I54" s="170">
        <f t="shared" si="14"/>
        <v>46233</v>
      </c>
      <c r="J54" s="168">
        <f>+J52</f>
        <v>0.04</v>
      </c>
      <c r="K54" s="167">
        <f>I54-I$9</f>
        <v>1707</v>
      </c>
      <c r="L54" s="166">
        <f>+K54/365</f>
        <v>4.6767123287671231</v>
      </c>
      <c r="M54" s="164">
        <f>1/(1+L$6)^L54</f>
        <v>0.83262146319706953</v>
      </c>
      <c r="N54" s="165">
        <f>+M54*J54</f>
        <v>3.3304858527882779E-2</v>
      </c>
      <c r="O54" s="164">
        <f>+N54*L54</f>
        <v>0.15575724248519424</v>
      </c>
    </row>
    <row r="55" spans="1:15" x14ac:dyDescent="0.2">
      <c r="A55" s="169">
        <f>A54</f>
        <v>46233</v>
      </c>
      <c r="B55" s="168">
        <v>1</v>
      </c>
      <c r="C55" s="167">
        <f t="shared" si="9"/>
        <v>1707</v>
      </c>
      <c r="D55" s="166">
        <f t="shared" si="10"/>
        <v>4.6767123287671231</v>
      </c>
      <c r="E55" s="164">
        <f t="shared" si="11"/>
        <v>0.71472961878198782</v>
      </c>
      <c r="F55" s="165">
        <f t="shared" si="12"/>
        <v>0.71472961878198782</v>
      </c>
      <c r="G55" s="164">
        <f t="shared" si="13"/>
        <v>3.3425848198927484</v>
      </c>
      <c r="I55" s="170">
        <f t="shared" si="14"/>
        <v>46233</v>
      </c>
      <c r="J55" s="168">
        <v>1</v>
      </c>
      <c r="K55" s="167">
        <f>I55-I$9</f>
        <v>1707</v>
      </c>
      <c r="L55" s="166">
        <f>+K55/365</f>
        <v>4.6767123287671231</v>
      </c>
      <c r="M55" s="164">
        <f>1/(1+L$6)^L55</f>
        <v>0.83262146319706953</v>
      </c>
      <c r="N55" s="165">
        <f>+M55*J55</f>
        <v>0.83262146319706953</v>
      </c>
      <c r="O55" s="164">
        <f>+N55*L55</f>
        <v>3.8939310621298566</v>
      </c>
    </row>
    <row r="56" spans="1:15" x14ac:dyDescent="0.2">
      <c r="A56" s="163"/>
      <c r="B56" s="163"/>
      <c r="C56" s="163"/>
      <c r="D56" s="162" t="s">
        <v>133</v>
      </c>
      <c r="E56" s="161">
        <f>YEARFRAC(A45,A55,3)</f>
        <v>4.6767123287671231</v>
      </c>
      <c r="F56" s="161" t="s">
        <v>1</v>
      </c>
      <c r="G56" s="161">
        <f>SUM(G46:G55)/D41</f>
        <v>4.052699558638639</v>
      </c>
      <c r="I56" s="163"/>
      <c r="J56" s="163"/>
      <c r="K56" s="163"/>
      <c r="L56" s="162" t="s">
        <v>133</v>
      </c>
      <c r="M56" s="161">
        <f>YEARFRAC(I45,I55,3)</f>
        <v>4.6767123287671231</v>
      </c>
      <c r="N56" s="161" t="s">
        <v>1</v>
      </c>
      <c r="O56" s="161">
        <f>SUM(O46:O55)/L41</f>
        <v>4.3062517869932373</v>
      </c>
    </row>
    <row r="58" spans="1:15" x14ac:dyDescent="0.2">
      <c r="A58" s="291" t="s">
        <v>141</v>
      </c>
      <c r="B58" s="291"/>
      <c r="C58" s="291"/>
      <c r="D58" s="291"/>
      <c r="E58" s="291"/>
      <c r="F58" s="291"/>
      <c r="G58" s="291"/>
      <c r="H58" s="291"/>
      <c r="I58" s="291"/>
      <c r="J58" s="291"/>
      <c r="K58" s="291"/>
      <c r="L58" s="291"/>
      <c r="M58" s="291"/>
      <c r="N58" s="291"/>
      <c r="O58" s="291"/>
    </row>
    <row r="59" spans="1:15" x14ac:dyDescent="0.2">
      <c r="A59" s="180"/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</row>
    <row r="60" spans="1:15" x14ac:dyDescent="0.2">
      <c r="A60" s="292" t="s">
        <v>145</v>
      </c>
      <c r="B60" s="292"/>
      <c r="C60" s="292"/>
      <c r="D60" s="292"/>
      <c r="E60" s="199">
        <v>46233</v>
      </c>
      <c r="F60" s="197" t="s">
        <v>147</v>
      </c>
      <c r="G60" s="197"/>
      <c r="I60" s="292" t="s">
        <v>145</v>
      </c>
      <c r="J60" s="292"/>
      <c r="K60" s="292"/>
      <c r="L60" s="292"/>
      <c r="M60" s="199">
        <v>45503</v>
      </c>
      <c r="N60" s="197" t="s">
        <v>147</v>
      </c>
      <c r="O60" s="197"/>
    </row>
    <row r="61" spans="1:15" x14ac:dyDescent="0.2">
      <c r="A61" s="163"/>
      <c r="B61" s="163"/>
      <c r="C61" s="163"/>
      <c r="D61" s="163"/>
      <c r="E61" s="163"/>
      <c r="F61" s="163"/>
      <c r="G61" s="163"/>
      <c r="I61" s="163"/>
      <c r="J61" s="163"/>
      <c r="K61" s="163"/>
      <c r="L61" s="163"/>
      <c r="M61" s="163"/>
      <c r="N61" s="163"/>
      <c r="O61" s="163"/>
    </row>
    <row r="62" spans="1:15" x14ac:dyDescent="0.2">
      <c r="A62" s="177" t="s">
        <v>140</v>
      </c>
      <c r="B62" s="179">
        <v>0.9</v>
      </c>
      <c r="C62" s="177" t="s">
        <v>7</v>
      </c>
      <c r="D62" s="176">
        <f>+B62+B63</f>
        <v>0.91304109589041094</v>
      </c>
      <c r="E62" s="177" t="s">
        <v>12</v>
      </c>
      <c r="F62" s="178">
        <f>+F41</f>
        <v>44407</v>
      </c>
      <c r="I62" s="177" t="s">
        <v>140</v>
      </c>
      <c r="J62" s="179">
        <v>1.1000000000000001</v>
      </c>
      <c r="K62" s="177" t="s">
        <v>7</v>
      </c>
      <c r="L62" s="176">
        <f>+J62+J63</f>
        <v>1.1130410958904111</v>
      </c>
      <c r="M62" s="177" t="s">
        <v>12</v>
      </c>
      <c r="N62" s="178">
        <f>+F62</f>
        <v>44407</v>
      </c>
    </row>
    <row r="63" spans="1:15" x14ac:dyDescent="0.2">
      <c r="A63" s="177" t="s">
        <v>14</v>
      </c>
      <c r="B63" s="176">
        <f>F63*((A66-F62)/(A67-F62))</f>
        <v>1.3041095890410959E-2</v>
      </c>
      <c r="C63" s="177" t="s">
        <v>3</v>
      </c>
      <c r="D63" s="179">
        <f>XIRR(B66:B72,A66:A72)</f>
        <v>6.5411230921745292E-2</v>
      </c>
      <c r="E63" s="177" t="s">
        <v>0</v>
      </c>
      <c r="F63" s="176">
        <v>0.04</v>
      </c>
      <c r="I63" s="177" t="s">
        <v>14</v>
      </c>
      <c r="J63" s="176">
        <f>N63*((I66-N62)/(I67-N62))</f>
        <v>1.3041095890410959E-2</v>
      </c>
      <c r="K63" s="177" t="s">
        <v>3</v>
      </c>
      <c r="L63" s="179">
        <f>XIRR(J66:J72,I66:I72)</f>
        <v>1.7503073811531062E-2</v>
      </c>
      <c r="M63" s="177" t="s">
        <v>0</v>
      </c>
      <c r="N63" s="176">
        <v>0.04</v>
      </c>
    </row>
    <row r="64" spans="1:15" x14ac:dyDescent="0.2">
      <c r="A64" s="163"/>
      <c r="B64" s="163"/>
      <c r="C64" s="163"/>
      <c r="D64" s="163"/>
      <c r="E64" s="163"/>
      <c r="F64" s="163"/>
      <c r="I64" s="163"/>
      <c r="J64" s="163"/>
      <c r="K64" s="163"/>
      <c r="L64" s="163"/>
      <c r="M64" s="163"/>
      <c r="N64" s="163"/>
      <c r="O64" s="163"/>
    </row>
    <row r="65" spans="1:15" x14ac:dyDescent="0.2">
      <c r="A65" s="175"/>
      <c r="B65" s="173" t="s">
        <v>139</v>
      </c>
      <c r="C65" s="173" t="s">
        <v>138</v>
      </c>
      <c r="D65" s="173" t="s">
        <v>137</v>
      </c>
      <c r="E65" s="173" t="s">
        <v>136</v>
      </c>
      <c r="F65" s="173" t="s">
        <v>135</v>
      </c>
      <c r="G65" s="173" t="s">
        <v>134</v>
      </c>
      <c r="J65" s="174" t="s">
        <v>139</v>
      </c>
      <c r="K65" s="173" t="s">
        <v>138</v>
      </c>
      <c r="L65" s="173" t="s">
        <v>137</v>
      </c>
      <c r="M65" s="173" t="s">
        <v>136</v>
      </c>
      <c r="N65" s="173" t="s">
        <v>135</v>
      </c>
      <c r="O65" s="173" t="s">
        <v>134</v>
      </c>
    </row>
    <row r="66" spans="1:15" x14ac:dyDescent="0.2">
      <c r="A66" s="170">
        <f>+A45</f>
        <v>44526</v>
      </c>
      <c r="B66" s="172">
        <f>-D62</f>
        <v>-0.91304109589041094</v>
      </c>
      <c r="C66" s="163"/>
      <c r="D66" s="163"/>
      <c r="E66" s="163"/>
      <c r="F66" s="163"/>
      <c r="G66" s="163"/>
      <c r="I66" s="170">
        <f>+A66</f>
        <v>44526</v>
      </c>
      <c r="J66" s="172">
        <f>-L62</f>
        <v>-1.1130410958904111</v>
      </c>
      <c r="K66" s="163"/>
      <c r="L66" s="163"/>
      <c r="M66" s="163"/>
      <c r="N66" s="163"/>
      <c r="O66" s="163"/>
    </row>
    <row r="67" spans="1:15" x14ac:dyDescent="0.2">
      <c r="A67" s="169">
        <f>+A46</f>
        <v>44772</v>
      </c>
      <c r="B67" s="168">
        <f>+F63</f>
        <v>0.04</v>
      </c>
      <c r="C67" s="167">
        <f t="shared" ref="C67:C72" si="17">A67-A$9</f>
        <v>246</v>
      </c>
      <c r="D67" s="166">
        <f t="shared" ref="D67:D72" si="18">+C67/365</f>
        <v>0.67397260273972603</v>
      </c>
      <c r="E67" s="164">
        <f t="shared" ref="E67:E72" si="19">1/(1+D$63)^D67</f>
        <v>0.95819547046621434</v>
      </c>
      <c r="F67" s="165">
        <f t="shared" ref="F67:F72" si="20">+E67*B67</f>
        <v>3.8327818818648572E-2</v>
      </c>
      <c r="G67" s="164">
        <f t="shared" ref="G67:G72" si="21">+F67*D67</f>
        <v>2.5831899806541228E-2</v>
      </c>
      <c r="I67" s="169">
        <f>+A67</f>
        <v>44772</v>
      </c>
      <c r="J67" s="168">
        <f>+N63</f>
        <v>0.04</v>
      </c>
      <c r="K67" s="167">
        <f t="shared" ref="K67:K72" si="22">I67-I$9</f>
        <v>246</v>
      </c>
      <c r="L67" s="166">
        <f t="shared" ref="L67:L72" si="23">+K67/365</f>
        <v>0.67397260273972603</v>
      </c>
      <c r="M67" s="164">
        <f t="shared" ref="M67:M72" si="24">1/(1+L$63)^L67</f>
        <v>0.98837357241945201</v>
      </c>
      <c r="N67" s="165">
        <f t="shared" ref="N67:N72" si="25">+M67*J67</f>
        <v>3.9534942896778079E-2</v>
      </c>
      <c r="O67" s="164">
        <f t="shared" ref="O67:O72" si="26">+N67*L67</f>
        <v>2.6645468363307966E-2</v>
      </c>
    </row>
    <row r="68" spans="1:15" x14ac:dyDescent="0.2">
      <c r="A68" s="170">
        <f>EDATE(A67,12)</f>
        <v>45137</v>
      </c>
      <c r="B68" s="168">
        <f>+B67</f>
        <v>0.04</v>
      </c>
      <c r="C68" s="167">
        <f t="shared" si="17"/>
        <v>611</v>
      </c>
      <c r="D68" s="166">
        <f t="shared" si="18"/>
        <v>1.6739726027397259</v>
      </c>
      <c r="E68" s="164">
        <f t="shared" si="19"/>
        <v>0.89936678219285071</v>
      </c>
      <c r="F68" s="165">
        <f t="shared" si="20"/>
        <v>3.5974671287714026E-2</v>
      </c>
      <c r="G68" s="164">
        <f t="shared" si="21"/>
        <v>6.0220614128200733E-2</v>
      </c>
      <c r="I68" s="170">
        <f>EDATE(I67,12)</f>
        <v>45137</v>
      </c>
      <c r="J68" s="168">
        <f>+J67</f>
        <v>0.04</v>
      </c>
      <c r="K68" s="167">
        <f t="shared" si="22"/>
        <v>611</v>
      </c>
      <c r="L68" s="166">
        <f t="shared" si="23"/>
        <v>1.6739726027397259</v>
      </c>
      <c r="M68" s="164">
        <f t="shared" si="24"/>
        <v>0.9713715838882323</v>
      </c>
      <c r="N68" s="165">
        <f t="shared" si="25"/>
        <v>3.885486335552929E-2</v>
      </c>
      <c r="O68" s="164">
        <f t="shared" si="26"/>
        <v>6.5041976740351767E-2</v>
      </c>
    </row>
    <row r="69" spans="1:15" x14ac:dyDescent="0.2">
      <c r="A69" s="170">
        <f>EDATE(A68,12)</f>
        <v>45503</v>
      </c>
      <c r="B69" s="168">
        <f>+B68</f>
        <v>0.04</v>
      </c>
      <c r="C69" s="167">
        <f t="shared" si="17"/>
        <v>977</v>
      </c>
      <c r="D69" s="166">
        <f t="shared" si="18"/>
        <v>2.6767123287671235</v>
      </c>
      <c r="E69" s="164">
        <f t="shared" si="19"/>
        <v>0.84400337382964841</v>
      </c>
      <c r="F69" s="165">
        <f t="shared" si="20"/>
        <v>3.3760134953185937E-2</v>
      </c>
      <c r="G69" s="164">
        <f t="shared" si="21"/>
        <v>9.03661694500347E-2</v>
      </c>
      <c r="I69" s="170">
        <f>EDATE(I68,12)</f>
        <v>45503</v>
      </c>
      <c r="J69" s="168">
        <f>+J68</f>
        <v>0.04</v>
      </c>
      <c r="K69" s="167">
        <f t="shared" si="22"/>
        <v>977</v>
      </c>
      <c r="L69" s="166">
        <f t="shared" si="23"/>
        <v>2.6767123287671235</v>
      </c>
      <c r="M69" s="164">
        <f t="shared" si="24"/>
        <v>0.95461668092567298</v>
      </c>
      <c r="N69" s="165">
        <f t="shared" si="25"/>
        <v>3.8184667237026917E-2</v>
      </c>
      <c r="O69" s="164">
        <f t="shared" si="26"/>
        <v>0.10220936956322001</v>
      </c>
    </row>
    <row r="70" spans="1:15" x14ac:dyDescent="0.2">
      <c r="A70" s="170">
        <f>EDATE(A69,12)</f>
        <v>45868</v>
      </c>
      <c r="B70" s="168">
        <f>+B69</f>
        <v>0.04</v>
      </c>
      <c r="C70" s="167">
        <f t="shared" si="17"/>
        <v>1342</v>
      </c>
      <c r="D70" s="166">
        <f t="shared" si="18"/>
        <v>3.6767123287671235</v>
      </c>
      <c r="E70" s="164">
        <f t="shared" si="19"/>
        <v>0.79218554238390659</v>
      </c>
      <c r="F70" s="165">
        <f t="shared" si="20"/>
        <v>3.1687421695356266E-2</v>
      </c>
      <c r="G70" s="164">
        <f t="shared" si="21"/>
        <v>0.11650553401415921</v>
      </c>
      <c r="I70" s="170">
        <f>EDATE(I69,12)</f>
        <v>45868</v>
      </c>
      <c r="J70" s="168">
        <f>+J69</f>
        <v>0.04</v>
      </c>
      <c r="K70" s="167">
        <f t="shared" si="22"/>
        <v>1342</v>
      </c>
      <c r="L70" s="166">
        <f t="shared" si="23"/>
        <v>3.6767123287671235</v>
      </c>
      <c r="M70" s="164">
        <f t="shared" si="24"/>
        <v>0.93819537797533337</v>
      </c>
      <c r="N70" s="165">
        <f t="shared" si="25"/>
        <v>3.7527815119013333E-2</v>
      </c>
      <c r="O70" s="164">
        <f t="shared" si="26"/>
        <v>0.13797898051976959</v>
      </c>
    </row>
    <row r="71" spans="1:15" x14ac:dyDescent="0.2">
      <c r="A71" s="170">
        <f>EDATE(A70,12)</f>
        <v>46233</v>
      </c>
      <c r="B71" s="168">
        <f>+B70</f>
        <v>0.04</v>
      </c>
      <c r="C71" s="167">
        <f t="shared" si="17"/>
        <v>1707</v>
      </c>
      <c r="D71" s="166">
        <f t="shared" si="18"/>
        <v>4.6767123287671231</v>
      </c>
      <c r="E71" s="164">
        <f t="shared" si="19"/>
        <v>0.74354908169922684</v>
      </c>
      <c r="F71" s="165">
        <f t="shared" si="20"/>
        <v>2.9741963267969074E-2</v>
      </c>
      <c r="G71" s="164">
        <f t="shared" si="21"/>
        <v>0.13909460629704989</v>
      </c>
      <c r="I71" s="170">
        <f>EDATE(I70,12)</f>
        <v>46233</v>
      </c>
      <c r="J71" s="168">
        <f>+J70</f>
        <v>0.04</v>
      </c>
      <c r="K71" s="167">
        <f t="shared" si="22"/>
        <v>1707</v>
      </c>
      <c r="L71" s="166">
        <f t="shared" si="23"/>
        <v>4.6767123287671231</v>
      </c>
      <c r="M71" s="164">
        <f t="shared" si="24"/>
        <v>0.92205655405136633</v>
      </c>
      <c r="N71" s="165">
        <f t="shared" si="25"/>
        <v>3.6882262162054653E-2</v>
      </c>
      <c r="O71" s="164">
        <f t="shared" si="26"/>
        <v>0.17248773016610217</v>
      </c>
    </row>
    <row r="72" spans="1:15" x14ac:dyDescent="0.2">
      <c r="A72" s="169">
        <f>+A71</f>
        <v>46233</v>
      </c>
      <c r="B72" s="168">
        <v>1</v>
      </c>
      <c r="C72" s="167">
        <f t="shared" si="17"/>
        <v>1707</v>
      </c>
      <c r="D72" s="166">
        <f t="shared" si="18"/>
        <v>4.6767123287671231</v>
      </c>
      <c r="E72" s="164">
        <f t="shared" si="19"/>
        <v>0.74354908169922684</v>
      </c>
      <c r="F72" s="165">
        <f t="shared" si="20"/>
        <v>0.74354908169922684</v>
      </c>
      <c r="G72" s="164">
        <f t="shared" si="21"/>
        <v>3.477365157426247</v>
      </c>
      <c r="I72" s="169">
        <f>+I71</f>
        <v>46233</v>
      </c>
      <c r="J72" s="168">
        <v>1</v>
      </c>
      <c r="K72" s="167">
        <f t="shared" si="22"/>
        <v>1707</v>
      </c>
      <c r="L72" s="166">
        <f t="shared" si="23"/>
        <v>4.6767123287671231</v>
      </c>
      <c r="M72" s="164">
        <f t="shared" si="24"/>
        <v>0.92205655405136633</v>
      </c>
      <c r="N72" s="165">
        <f t="shared" si="25"/>
        <v>0.92205655405136633</v>
      </c>
      <c r="O72" s="164">
        <f t="shared" si="26"/>
        <v>4.3121932541525538</v>
      </c>
    </row>
    <row r="73" spans="1:15" x14ac:dyDescent="0.2">
      <c r="A73" s="163"/>
      <c r="B73" s="163"/>
      <c r="C73" s="163"/>
      <c r="D73" s="162" t="s">
        <v>133</v>
      </c>
      <c r="E73" s="161">
        <f>YEARFRAC(A66,A72,3)</f>
        <v>4.6767123287671231</v>
      </c>
      <c r="F73" s="161" t="s">
        <v>1</v>
      </c>
      <c r="G73" s="161">
        <f>SUM(G67:G72)/D62</f>
        <v>4.2817174371650211</v>
      </c>
      <c r="I73" s="163"/>
      <c r="J73" s="163"/>
      <c r="K73" s="163"/>
      <c r="L73" s="162" t="s">
        <v>133</v>
      </c>
      <c r="M73" s="161">
        <f>YEARFRAC(I66,I72,3)</f>
        <v>4.6767123287671231</v>
      </c>
      <c r="N73" s="161" t="s">
        <v>1</v>
      </c>
      <c r="O73" s="161">
        <f>SUM(O67:O72)/L62</f>
        <v>4.3273844939679913</v>
      </c>
    </row>
    <row r="75" spans="1:15" x14ac:dyDescent="0.2">
      <c r="A75" s="291" t="s">
        <v>141</v>
      </c>
      <c r="B75" s="291"/>
      <c r="C75" s="291"/>
      <c r="D75" s="291"/>
      <c r="E75" s="291"/>
      <c r="F75" s="291"/>
      <c r="G75" s="291"/>
      <c r="H75" s="291"/>
      <c r="I75" s="291"/>
      <c r="J75" s="291"/>
      <c r="K75" s="291"/>
      <c r="L75" s="291"/>
      <c r="M75" s="291"/>
      <c r="N75" s="291"/>
      <c r="O75" s="291"/>
    </row>
    <row r="76" spans="1:15" x14ac:dyDescent="0.2">
      <c r="A76" s="180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</row>
    <row r="77" spans="1:15" x14ac:dyDescent="0.2">
      <c r="A77" s="292" t="s">
        <v>145</v>
      </c>
      <c r="B77" s="292"/>
      <c r="C77" s="292"/>
      <c r="D77" s="292"/>
      <c r="E77" s="199">
        <v>49155</v>
      </c>
      <c r="F77" s="197" t="s">
        <v>147</v>
      </c>
      <c r="G77" s="197"/>
      <c r="I77" s="292" t="s">
        <v>145</v>
      </c>
      <c r="J77" s="292"/>
      <c r="K77" s="292"/>
      <c r="L77" s="292"/>
      <c r="M77" s="199">
        <v>49155</v>
      </c>
      <c r="N77" s="197" t="s">
        <v>147</v>
      </c>
      <c r="O77" s="197"/>
    </row>
    <row r="78" spans="1:15" x14ac:dyDescent="0.2">
      <c r="A78" s="163"/>
      <c r="B78" s="163"/>
      <c r="C78" s="163"/>
      <c r="D78" s="163"/>
      <c r="E78" s="163"/>
      <c r="F78" s="163"/>
      <c r="G78" s="163"/>
      <c r="I78" s="163"/>
      <c r="J78" s="163"/>
      <c r="K78" s="163"/>
      <c r="L78" s="163"/>
      <c r="M78" s="163"/>
      <c r="N78" s="163"/>
      <c r="O78" s="163"/>
    </row>
    <row r="79" spans="1:15" x14ac:dyDescent="0.2">
      <c r="A79" s="177" t="s">
        <v>140</v>
      </c>
      <c r="B79" s="179">
        <v>0.75249999999999995</v>
      </c>
      <c r="C79" s="177" t="s">
        <v>7</v>
      </c>
      <c r="D79" s="176">
        <f>+B79+B80</f>
        <v>0.76554109589041086</v>
      </c>
      <c r="E79" s="177" t="s">
        <v>12</v>
      </c>
      <c r="F79" s="178">
        <f>+F62</f>
        <v>44407</v>
      </c>
      <c r="I79" s="177" t="s">
        <v>140</v>
      </c>
      <c r="J79" s="179">
        <v>1.355</v>
      </c>
      <c r="K79" s="177" t="s">
        <v>7</v>
      </c>
      <c r="L79" s="176">
        <f>+J79+J80</f>
        <v>1.368041095890411</v>
      </c>
      <c r="M79" s="177" t="s">
        <v>12</v>
      </c>
      <c r="N79" s="178">
        <f>+F79</f>
        <v>44407</v>
      </c>
    </row>
    <row r="80" spans="1:15" x14ac:dyDescent="0.2">
      <c r="A80" s="177" t="s">
        <v>14</v>
      </c>
      <c r="B80" s="176">
        <f>F80*((A83-F79)/(A84-F79))</f>
        <v>1.3041095890410959E-2</v>
      </c>
      <c r="C80" s="177" t="s">
        <v>3</v>
      </c>
      <c r="D80" s="176">
        <f>XIRR(B83:B97,A83:A97)</f>
        <v>7.0017215609550473E-2</v>
      </c>
      <c r="E80" s="177" t="s">
        <v>0</v>
      </c>
      <c r="F80" s="176">
        <v>0.04</v>
      </c>
      <c r="I80" s="177" t="s">
        <v>14</v>
      </c>
      <c r="J80" s="176">
        <f>N80*((I83-N79)/(I84-N79))</f>
        <v>1.3041095890410959E-2</v>
      </c>
      <c r="K80" s="177" t="s">
        <v>3</v>
      </c>
      <c r="L80" s="176">
        <f>XIRR(J83:J97,I83:I97)</f>
        <v>1.0021814703941347E-2</v>
      </c>
      <c r="M80" s="177" t="s">
        <v>0</v>
      </c>
      <c r="N80" s="176">
        <v>0.04</v>
      </c>
    </row>
    <row r="81" spans="1:15" x14ac:dyDescent="0.2">
      <c r="A81" s="163"/>
      <c r="B81" s="163"/>
      <c r="C81" s="163"/>
      <c r="D81" s="163"/>
      <c r="E81" s="163"/>
      <c r="F81" s="163"/>
      <c r="G81" s="163"/>
      <c r="I81" s="163"/>
      <c r="J81" s="163"/>
      <c r="K81" s="163"/>
      <c r="L81" s="163"/>
      <c r="M81" s="163"/>
      <c r="N81" s="163"/>
      <c r="O81" s="163"/>
    </row>
    <row r="82" spans="1:15" x14ac:dyDescent="0.2">
      <c r="A82" s="175"/>
      <c r="B82" s="173" t="s">
        <v>139</v>
      </c>
      <c r="C82" s="173" t="s">
        <v>138</v>
      </c>
      <c r="D82" s="173" t="s">
        <v>137</v>
      </c>
      <c r="E82" s="173" t="s">
        <v>136</v>
      </c>
      <c r="F82" s="173" t="s">
        <v>135</v>
      </c>
      <c r="G82" s="173" t="s">
        <v>134</v>
      </c>
      <c r="J82" s="174" t="s">
        <v>139</v>
      </c>
      <c r="K82" s="173" t="s">
        <v>138</v>
      </c>
      <c r="L82" s="173" t="s">
        <v>137</v>
      </c>
      <c r="M82" s="173" t="s">
        <v>136</v>
      </c>
      <c r="N82" s="173" t="s">
        <v>135</v>
      </c>
      <c r="O82" s="173" t="s">
        <v>134</v>
      </c>
    </row>
    <row r="83" spans="1:15" x14ac:dyDescent="0.2">
      <c r="A83" s="170">
        <f>+A66</f>
        <v>44526</v>
      </c>
      <c r="B83" s="172">
        <f>-D79</f>
        <v>-0.76554109589041086</v>
      </c>
      <c r="C83" s="163"/>
      <c r="D83" s="163"/>
      <c r="E83" s="163"/>
      <c r="F83" s="163"/>
      <c r="G83" s="163"/>
      <c r="I83" s="170">
        <f>+A83</f>
        <v>44526</v>
      </c>
      <c r="J83" s="171">
        <f>-L79</f>
        <v>-1.368041095890411</v>
      </c>
      <c r="K83" s="163"/>
      <c r="L83" s="163"/>
      <c r="M83" s="163"/>
      <c r="N83" s="163"/>
      <c r="O83" s="163"/>
    </row>
    <row r="84" spans="1:15" x14ac:dyDescent="0.2">
      <c r="A84" s="169">
        <f>+A67</f>
        <v>44772</v>
      </c>
      <c r="B84" s="168">
        <f>+F80</f>
        <v>0.04</v>
      </c>
      <c r="C84" s="167">
        <f t="shared" ref="C84:C97" si="27">A84-A$9</f>
        <v>246</v>
      </c>
      <c r="D84" s="166">
        <f t="shared" ref="D84:D97" si="28">+C84/365</f>
        <v>0.67397260273972603</v>
      </c>
      <c r="E84" s="164">
        <f t="shared" ref="E84:E97" si="29">1/(1+D$80)^D84</f>
        <v>0.95541362306879907</v>
      </c>
      <c r="F84" s="165">
        <f t="shared" ref="F84:F97" si="30">+E84*B84</f>
        <v>3.8216544922751963E-2</v>
      </c>
      <c r="G84" s="164">
        <f t="shared" ref="G84:G97" si="31">+F84*D84</f>
        <v>2.5756904249306802E-2</v>
      </c>
      <c r="I84" s="169">
        <f>+A84</f>
        <v>44772</v>
      </c>
      <c r="J84" s="168">
        <f>+N80</f>
        <v>0.04</v>
      </c>
      <c r="K84" s="167">
        <f t="shared" ref="K84:K97" si="32">I84-I$9</f>
        <v>246</v>
      </c>
      <c r="L84" s="166">
        <f t="shared" ref="L84:L97" si="33">+K84/365</f>
        <v>0.67397260273972603</v>
      </c>
      <c r="M84" s="164">
        <f t="shared" ref="M84:M97" si="34">1/(1+L$80)^L84</f>
        <v>0.99330172694437791</v>
      </c>
      <c r="N84" s="165">
        <f t="shared" ref="N84:N97" si="35">+M84*J84</f>
        <v>3.9732069077775115E-2</v>
      </c>
      <c r="O84" s="164">
        <f t="shared" ref="O84:O97" si="36">+N84*L84</f>
        <v>2.6778326008582681E-2</v>
      </c>
    </row>
    <row r="85" spans="1:15" x14ac:dyDescent="0.2">
      <c r="A85" s="170">
        <f t="shared" ref="A85:A96" si="37">EDATE(A84,12)</f>
        <v>45137</v>
      </c>
      <c r="B85" s="168">
        <f t="shared" ref="B85:B96" si="38">+B84</f>
        <v>0.04</v>
      </c>
      <c r="C85" s="167">
        <f t="shared" si="27"/>
        <v>611</v>
      </c>
      <c r="D85" s="166">
        <f t="shared" si="28"/>
        <v>1.6739726027397259</v>
      </c>
      <c r="E85" s="164">
        <f t="shared" si="29"/>
        <v>0.8928955619882567</v>
      </c>
      <c r="F85" s="165">
        <f t="shared" si="30"/>
        <v>3.5715822479530271E-2</v>
      </c>
      <c r="G85" s="164">
        <f t="shared" si="31"/>
        <v>5.9787308315049296E-2</v>
      </c>
      <c r="I85" s="170">
        <f t="shared" ref="I85:I96" si="39">EDATE(I84,12)</f>
        <v>45137</v>
      </c>
      <c r="J85" s="168">
        <f t="shared" ref="J85:J96" si="40">+J84</f>
        <v>0.04</v>
      </c>
      <c r="K85" s="167">
        <f t="shared" si="32"/>
        <v>611</v>
      </c>
      <c r="L85" s="166">
        <f t="shared" si="33"/>
        <v>1.6739726027397259</v>
      </c>
      <c r="M85" s="164">
        <f t="shared" si="34"/>
        <v>0.98344581521294727</v>
      </c>
      <c r="N85" s="165">
        <f t="shared" si="35"/>
        <v>3.9337832608517892E-2</v>
      </c>
      <c r="O85" s="164">
        <f t="shared" si="36"/>
        <v>6.5850454037820361E-2</v>
      </c>
    </row>
    <row r="86" spans="1:15" x14ac:dyDescent="0.2">
      <c r="A86" s="170">
        <f t="shared" si="37"/>
        <v>45503</v>
      </c>
      <c r="B86" s="168">
        <f t="shared" si="38"/>
        <v>0.04</v>
      </c>
      <c r="C86" s="167">
        <f t="shared" si="27"/>
        <v>977</v>
      </c>
      <c r="D86" s="166">
        <f t="shared" si="28"/>
        <v>2.6767123287671235</v>
      </c>
      <c r="E86" s="164">
        <f t="shared" si="29"/>
        <v>0.83431370293008089</v>
      </c>
      <c r="F86" s="165">
        <f t="shared" si="30"/>
        <v>3.3372548117203235E-2</v>
      </c>
      <c r="G86" s="164">
        <f t="shared" si="31"/>
        <v>8.9328710987691948E-2</v>
      </c>
      <c r="I86" s="170">
        <f t="shared" si="39"/>
        <v>45503</v>
      </c>
      <c r="J86" s="168">
        <f t="shared" si="40"/>
        <v>0.04</v>
      </c>
      <c r="K86" s="167">
        <f t="shared" si="32"/>
        <v>977</v>
      </c>
      <c r="L86" s="166">
        <f t="shared" si="33"/>
        <v>2.6767123287671235</v>
      </c>
      <c r="M86" s="164">
        <f t="shared" si="34"/>
        <v>0.97366109639926424</v>
      </c>
      <c r="N86" s="165">
        <f t="shared" si="35"/>
        <v>3.8946443855970569E-2</v>
      </c>
      <c r="O86" s="164">
        <f t="shared" si="36"/>
        <v>0.10424842643091302</v>
      </c>
    </row>
    <row r="87" spans="1:15" x14ac:dyDescent="0.2">
      <c r="A87" s="170">
        <f t="shared" si="37"/>
        <v>45868</v>
      </c>
      <c r="B87" s="168">
        <f t="shared" si="38"/>
        <v>0.04</v>
      </c>
      <c r="C87" s="167">
        <f t="shared" si="27"/>
        <v>1342</v>
      </c>
      <c r="D87" s="166">
        <f t="shared" si="28"/>
        <v>3.6767123287671235</v>
      </c>
      <c r="E87" s="164">
        <f t="shared" si="29"/>
        <v>0.77971988745508392</v>
      </c>
      <c r="F87" s="165">
        <f t="shared" si="30"/>
        <v>3.1188795498203359E-2</v>
      </c>
      <c r="G87" s="164">
        <f t="shared" si="31"/>
        <v>0.11467222892764085</v>
      </c>
      <c r="I87" s="170">
        <f t="shared" si="39"/>
        <v>45868</v>
      </c>
      <c r="J87" s="168">
        <f t="shared" si="40"/>
        <v>0.04</v>
      </c>
      <c r="K87" s="167">
        <f t="shared" si="32"/>
        <v>1342</v>
      </c>
      <c r="L87" s="166">
        <f t="shared" si="33"/>
        <v>3.6767123287671235</v>
      </c>
      <c r="M87" s="164">
        <f t="shared" si="34"/>
        <v>0.96400006635962121</v>
      </c>
      <c r="N87" s="165">
        <f t="shared" si="35"/>
        <v>3.8560002654384848E-2</v>
      </c>
      <c r="O87" s="164">
        <f t="shared" si="36"/>
        <v>0.14177403715666978</v>
      </c>
    </row>
    <row r="88" spans="1:15" x14ac:dyDescent="0.2">
      <c r="A88" s="170">
        <f t="shared" si="37"/>
        <v>46233</v>
      </c>
      <c r="B88" s="168">
        <f t="shared" si="38"/>
        <v>0.04</v>
      </c>
      <c r="C88" s="167">
        <f t="shared" si="27"/>
        <v>1707</v>
      </c>
      <c r="D88" s="166">
        <f t="shared" si="28"/>
        <v>4.6767123287671231</v>
      </c>
      <c r="E88" s="164">
        <f t="shared" si="29"/>
        <v>0.72869845090380669</v>
      </c>
      <c r="F88" s="165">
        <f t="shared" si="30"/>
        <v>2.9147938036152267E-2</v>
      </c>
      <c r="G88" s="164">
        <f t="shared" si="31"/>
        <v>0.13631652117181348</v>
      </c>
      <c r="I88" s="170">
        <f t="shared" si="39"/>
        <v>46233</v>
      </c>
      <c r="J88" s="168">
        <f t="shared" si="40"/>
        <v>0.04</v>
      </c>
      <c r="K88" s="167">
        <f t="shared" si="32"/>
        <v>1707</v>
      </c>
      <c r="L88" s="166">
        <f t="shared" si="33"/>
        <v>4.6767123287671231</v>
      </c>
      <c r="M88" s="164">
        <f t="shared" si="34"/>
        <v>0.95443489667813752</v>
      </c>
      <c r="N88" s="165">
        <f t="shared" si="35"/>
        <v>3.8177395867125499E-2</v>
      </c>
      <c r="O88" s="164">
        <f t="shared" si="36"/>
        <v>0.17854469793200883</v>
      </c>
    </row>
    <row r="89" spans="1:15" x14ac:dyDescent="0.2">
      <c r="A89" s="170">
        <f t="shared" si="37"/>
        <v>46598</v>
      </c>
      <c r="B89" s="168">
        <f t="shared" si="38"/>
        <v>0.04</v>
      </c>
      <c r="C89" s="167">
        <f t="shared" si="27"/>
        <v>2072</v>
      </c>
      <c r="D89" s="166">
        <f t="shared" si="28"/>
        <v>5.6767123287671231</v>
      </c>
      <c r="E89" s="164">
        <f t="shared" si="29"/>
        <v>0.6810156325276443</v>
      </c>
      <c r="F89" s="165">
        <f t="shared" si="30"/>
        <v>2.7240625301105773E-2</v>
      </c>
      <c r="G89" s="164">
        <f t="shared" si="31"/>
        <v>0.15463719349011276</v>
      </c>
      <c r="I89" s="170">
        <f t="shared" si="39"/>
        <v>46598</v>
      </c>
      <c r="J89" s="168">
        <f t="shared" si="40"/>
        <v>0.04</v>
      </c>
      <c r="K89" s="167">
        <f t="shared" si="32"/>
        <v>2072</v>
      </c>
      <c r="L89" s="166">
        <f t="shared" si="33"/>
        <v>5.6767123287671231</v>
      </c>
      <c r="M89" s="164">
        <f t="shared" si="34"/>
        <v>0.94496463619243953</v>
      </c>
      <c r="N89" s="165">
        <f t="shared" si="35"/>
        <v>3.7798585447697583E-2</v>
      </c>
      <c r="O89" s="164">
        <f t="shared" si="36"/>
        <v>0.21457169602090242</v>
      </c>
    </row>
    <row r="90" spans="1:15" x14ac:dyDescent="0.2">
      <c r="A90" s="170">
        <f t="shared" si="37"/>
        <v>46964</v>
      </c>
      <c r="B90" s="168">
        <f t="shared" si="38"/>
        <v>0.04</v>
      </c>
      <c r="C90" s="167">
        <f t="shared" si="27"/>
        <v>2438</v>
      </c>
      <c r="D90" s="166">
        <f t="shared" si="28"/>
        <v>6.6794520547945204</v>
      </c>
      <c r="E90" s="164">
        <f t="shared" si="29"/>
        <v>0.6363349738934897</v>
      </c>
      <c r="F90" s="165">
        <f t="shared" si="30"/>
        <v>2.5453398955739587E-2</v>
      </c>
      <c r="G90" s="164">
        <f t="shared" si="31"/>
        <v>0.17001475795641949</v>
      </c>
      <c r="I90" s="170">
        <f t="shared" si="39"/>
        <v>46964</v>
      </c>
      <c r="J90" s="168">
        <f t="shared" si="40"/>
        <v>0.04</v>
      </c>
      <c r="K90" s="167">
        <f t="shared" si="32"/>
        <v>2438</v>
      </c>
      <c r="L90" s="166">
        <f t="shared" si="33"/>
        <v>6.6794520547945204</v>
      </c>
      <c r="M90" s="164">
        <f t="shared" si="34"/>
        <v>0.93556278292204353</v>
      </c>
      <c r="N90" s="165">
        <f t="shared" si="35"/>
        <v>3.7422511316881742E-2</v>
      </c>
      <c r="O90" s="164">
        <f t="shared" si="36"/>
        <v>0.24996187011111695</v>
      </c>
    </row>
    <row r="91" spans="1:15" x14ac:dyDescent="0.2">
      <c r="A91" s="170">
        <f t="shared" si="37"/>
        <v>47329</v>
      </c>
      <c r="B91" s="168">
        <f t="shared" si="38"/>
        <v>0.04</v>
      </c>
      <c r="C91" s="167">
        <f t="shared" si="27"/>
        <v>2803</v>
      </c>
      <c r="D91" s="166">
        <f t="shared" si="28"/>
        <v>7.6794520547945204</v>
      </c>
      <c r="E91" s="164">
        <f t="shared" si="29"/>
        <v>0.59469601480289502</v>
      </c>
      <c r="F91" s="165">
        <f t="shared" si="30"/>
        <v>2.3787840592115802E-2</v>
      </c>
      <c r="G91" s="164">
        <f t="shared" si="31"/>
        <v>0.18267758131424819</v>
      </c>
      <c r="I91" s="170">
        <f t="shared" si="39"/>
        <v>47329</v>
      </c>
      <c r="J91" s="168">
        <f t="shared" si="40"/>
        <v>0.04</v>
      </c>
      <c r="K91" s="167">
        <f t="shared" si="32"/>
        <v>2803</v>
      </c>
      <c r="L91" s="166">
        <f t="shared" si="33"/>
        <v>7.6794520547945204</v>
      </c>
      <c r="M91" s="164">
        <f t="shared" si="34"/>
        <v>0.92627977861673871</v>
      </c>
      <c r="N91" s="165">
        <f t="shared" si="35"/>
        <v>3.7051191144669551E-2</v>
      </c>
      <c r="O91" s="164">
        <f t="shared" si="36"/>
        <v>0.28453284596851713</v>
      </c>
    </row>
    <row r="92" spans="1:15" x14ac:dyDescent="0.2">
      <c r="A92" s="170">
        <f t="shared" si="37"/>
        <v>47694</v>
      </c>
      <c r="B92" s="168">
        <f t="shared" si="38"/>
        <v>0.04</v>
      </c>
      <c r="C92" s="167">
        <f t="shared" si="27"/>
        <v>3168</v>
      </c>
      <c r="D92" s="166">
        <f t="shared" si="28"/>
        <v>8.6794520547945204</v>
      </c>
      <c r="E92" s="164">
        <f t="shared" si="29"/>
        <v>0.55578172587075436</v>
      </c>
      <c r="F92" s="165">
        <f t="shared" si="30"/>
        <v>2.2231269034830175E-2</v>
      </c>
      <c r="G92" s="164">
        <f t="shared" si="31"/>
        <v>0.19295523370504655</v>
      </c>
      <c r="I92" s="170">
        <f t="shared" si="39"/>
        <v>47694</v>
      </c>
      <c r="J92" s="168">
        <f t="shared" si="40"/>
        <v>0.04</v>
      </c>
      <c r="K92" s="167">
        <f t="shared" si="32"/>
        <v>3168</v>
      </c>
      <c r="L92" s="166">
        <f t="shared" si="33"/>
        <v>8.6794520547945204</v>
      </c>
      <c r="M92" s="164">
        <f t="shared" si="34"/>
        <v>0.91708888375668507</v>
      </c>
      <c r="N92" s="165">
        <f t="shared" si="35"/>
        <v>3.6683555350267405E-2</v>
      </c>
      <c r="O92" s="164">
        <f t="shared" si="36"/>
        <v>0.31839315986204697</v>
      </c>
    </row>
    <row r="93" spans="1:15" x14ac:dyDescent="0.2">
      <c r="A93" s="170">
        <f t="shared" si="37"/>
        <v>48059</v>
      </c>
      <c r="B93" s="168">
        <f t="shared" si="38"/>
        <v>0.04</v>
      </c>
      <c r="C93" s="167">
        <f t="shared" si="27"/>
        <v>3533</v>
      </c>
      <c r="D93" s="166">
        <f t="shared" si="28"/>
        <v>9.6794520547945204</v>
      </c>
      <c r="E93" s="164">
        <f t="shared" si="29"/>
        <v>0.51941381667784237</v>
      </c>
      <c r="F93" s="165">
        <f t="shared" si="30"/>
        <v>2.0776552667113694E-2</v>
      </c>
      <c r="G93" s="164">
        <f t="shared" si="31"/>
        <v>0.20110564540524023</v>
      </c>
      <c r="I93" s="170">
        <f t="shared" si="39"/>
        <v>48059</v>
      </c>
      <c r="J93" s="168">
        <f t="shared" si="40"/>
        <v>0.04</v>
      </c>
      <c r="K93" s="167">
        <f t="shared" si="32"/>
        <v>3533</v>
      </c>
      <c r="L93" s="166">
        <f t="shared" si="33"/>
        <v>9.6794520547945204</v>
      </c>
      <c r="M93" s="164">
        <f t="shared" si="34"/>
        <v>0.90798918439747078</v>
      </c>
      <c r="N93" s="165">
        <f t="shared" si="35"/>
        <v>3.631956737589883E-2</v>
      </c>
      <c r="O93" s="164">
        <f t="shared" si="36"/>
        <v>0.35155351106589194</v>
      </c>
    </row>
    <row r="94" spans="1:15" x14ac:dyDescent="0.2">
      <c r="A94" s="170">
        <f t="shared" si="37"/>
        <v>48425</v>
      </c>
      <c r="B94" s="168">
        <f t="shared" si="38"/>
        <v>0.04</v>
      </c>
      <c r="C94" s="167">
        <f t="shared" si="27"/>
        <v>3899</v>
      </c>
      <c r="D94" s="166">
        <f t="shared" si="28"/>
        <v>10.682191780821919</v>
      </c>
      <c r="E94" s="164">
        <f t="shared" si="29"/>
        <v>0.48533566879934426</v>
      </c>
      <c r="F94" s="165">
        <f t="shared" si="30"/>
        <v>1.9413426751973769E-2</v>
      </c>
      <c r="G94" s="164">
        <f t="shared" si="31"/>
        <v>0.20737794768752255</v>
      </c>
      <c r="I94" s="170">
        <f t="shared" si="39"/>
        <v>48425</v>
      </c>
      <c r="J94" s="168">
        <f t="shared" si="40"/>
        <v>0.04</v>
      </c>
      <c r="K94" s="167">
        <f t="shared" si="32"/>
        <v>3899</v>
      </c>
      <c r="L94" s="166">
        <f t="shared" si="33"/>
        <v>10.682191780821919</v>
      </c>
      <c r="M94" s="164">
        <f t="shared" si="34"/>
        <v>0.89895521555265856</v>
      </c>
      <c r="N94" s="165">
        <f t="shared" si="35"/>
        <v>3.5958208622106344E-2</v>
      </c>
      <c r="O94" s="164">
        <f t="shared" si="36"/>
        <v>0.38411248059614422</v>
      </c>
    </row>
    <row r="95" spans="1:15" x14ac:dyDescent="0.2">
      <c r="A95" s="170">
        <f t="shared" si="37"/>
        <v>48790</v>
      </c>
      <c r="B95" s="168">
        <f t="shared" si="38"/>
        <v>0.04</v>
      </c>
      <c r="C95" s="167">
        <f t="shared" si="27"/>
        <v>4264</v>
      </c>
      <c r="D95" s="166">
        <f t="shared" si="28"/>
        <v>11.682191780821919</v>
      </c>
      <c r="E95" s="164">
        <f t="shared" si="29"/>
        <v>0.45357743942733292</v>
      </c>
      <c r="F95" s="165">
        <f t="shared" si="30"/>
        <v>1.8143097577093318E-2</v>
      </c>
      <c r="G95" s="164">
        <f t="shared" si="31"/>
        <v>0.21195114539376964</v>
      </c>
      <c r="I95" s="170">
        <f t="shared" si="39"/>
        <v>48790</v>
      </c>
      <c r="J95" s="168">
        <f t="shared" si="40"/>
        <v>0.04</v>
      </c>
      <c r="K95" s="167">
        <f t="shared" si="32"/>
        <v>4264</v>
      </c>
      <c r="L95" s="166">
        <f t="shared" si="33"/>
        <v>11.682191780821919</v>
      </c>
      <c r="M95" s="164">
        <f t="shared" si="34"/>
        <v>0.89003544524051836</v>
      </c>
      <c r="N95" s="165">
        <f t="shared" si="35"/>
        <v>3.5601417809620735E-2</v>
      </c>
      <c r="O95" s="164">
        <f t="shared" si="36"/>
        <v>0.41590259052115841</v>
      </c>
    </row>
    <row r="96" spans="1:15" x14ac:dyDescent="0.2">
      <c r="A96" s="170">
        <f t="shared" si="37"/>
        <v>49155</v>
      </c>
      <c r="B96" s="168">
        <f t="shared" si="38"/>
        <v>0.04</v>
      </c>
      <c r="C96" s="167">
        <f t="shared" si="27"/>
        <v>4629</v>
      </c>
      <c r="D96" s="166">
        <f t="shared" si="28"/>
        <v>12.682191780821919</v>
      </c>
      <c r="E96" s="164">
        <f t="shared" si="29"/>
        <v>0.42389732876302005</v>
      </c>
      <c r="F96" s="165">
        <f t="shared" si="30"/>
        <v>1.6955893150520804E-2</v>
      </c>
      <c r="G96" s="164">
        <f t="shared" si="31"/>
        <v>0.2150378887500296</v>
      </c>
      <c r="I96" s="170">
        <f t="shared" si="39"/>
        <v>49155</v>
      </c>
      <c r="J96" s="168">
        <f t="shared" si="40"/>
        <v>0.04</v>
      </c>
      <c r="K96" s="167">
        <f t="shared" si="32"/>
        <v>4629</v>
      </c>
      <c r="L96" s="166">
        <f t="shared" si="33"/>
        <v>12.682191780821919</v>
      </c>
      <c r="M96" s="164">
        <f t="shared" si="34"/>
        <v>0.88120418022991576</v>
      </c>
      <c r="N96" s="165">
        <f t="shared" si="35"/>
        <v>3.5248167209196629E-2</v>
      </c>
      <c r="O96" s="164">
        <f t="shared" si="36"/>
        <v>0.44702401646951018</v>
      </c>
    </row>
    <row r="97" spans="1:15" x14ac:dyDescent="0.2">
      <c r="A97" s="169">
        <f>+A96</f>
        <v>49155</v>
      </c>
      <c r="B97" s="168">
        <v>1</v>
      </c>
      <c r="C97" s="167">
        <f t="shared" si="27"/>
        <v>4629</v>
      </c>
      <c r="D97" s="166">
        <f t="shared" si="28"/>
        <v>12.682191780821919</v>
      </c>
      <c r="E97" s="164">
        <f t="shared" si="29"/>
        <v>0.42389732876302005</v>
      </c>
      <c r="F97" s="165">
        <f t="shared" si="30"/>
        <v>0.42389732876302005</v>
      </c>
      <c r="G97" s="164">
        <f t="shared" si="31"/>
        <v>5.3759472187507393</v>
      </c>
      <c r="I97" s="169">
        <f>+I96</f>
        <v>49155</v>
      </c>
      <c r="J97" s="168">
        <v>1</v>
      </c>
      <c r="K97" s="167">
        <f t="shared" si="32"/>
        <v>4629</v>
      </c>
      <c r="L97" s="166">
        <f t="shared" si="33"/>
        <v>12.682191780821919</v>
      </c>
      <c r="M97" s="164">
        <f t="shared" si="34"/>
        <v>0.88120418022991576</v>
      </c>
      <c r="N97" s="165">
        <f t="shared" si="35"/>
        <v>0.88120418022991576</v>
      </c>
      <c r="O97" s="164">
        <f t="shared" si="36"/>
        <v>11.175600411737754</v>
      </c>
    </row>
    <row r="98" spans="1:15" x14ac:dyDescent="0.2">
      <c r="A98" s="163"/>
      <c r="B98" s="163"/>
      <c r="C98" s="163"/>
      <c r="D98" s="162" t="s">
        <v>133</v>
      </c>
      <c r="E98" s="161">
        <f>YEARFRAC(A83,A97,3)</f>
        <v>12.682191780821919</v>
      </c>
      <c r="F98" s="161" t="s">
        <v>1</v>
      </c>
      <c r="G98" s="161">
        <f>SUM(G84:G97)/D79</f>
        <v>9.584810437341984</v>
      </c>
      <c r="I98" s="163"/>
      <c r="J98" s="163"/>
      <c r="K98" s="163"/>
      <c r="L98" s="162" t="s">
        <v>133</v>
      </c>
      <c r="M98" s="161">
        <f>YEARFRAC(I83,I97,3)</f>
        <v>12.682191780821919</v>
      </c>
      <c r="N98" s="161" t="s">
        <v>1</v>
      </c>
      <c r="O98" s="161">
        <f>SUM(O84:O97)/L79</f>
        <v>10.495918994723878</v>
      </c>
    </row>
  </sheetData>
  <mergeCells count="15">
    <mergeCell ref="A60:D60"/>
    <mergeCell ref="I60:L60"/>
    <mergeCell ref="A77:D77"/>
    <mergeCell ref="I77:L77"/>
    <mergeCell ref="A75:O75"/>
    <mergeCell ref="A37:O37"/>
    <mergeCell ref="A58:O58"/>
    <mergeCell ref="A39:D39"/>
    <mergeCell ref="A1:O1"/>
    <mergeCell ref="A21:O21"/>
    <mergeCell ref="A3:D3"/>
    <mergeCell ref="I3:L3"/>
    <mergeCell ref="A23:D23"/>
    <mergeCell ref="I23:L23"/>
    <mergeCell ref="I39:L39"/>
  </mergeCells>
  <phoneticPr fontId="46" type="noConversion"/>
  <pageMargins left="0.75" right="0.75" top="1" bottom="1" header="0.5" footer="0.5"/>
  <pageSetup paperSize="9" orientation="portrait" horizontalDpi="4294967292" verticalDpi="429496729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5"/>
  <sheetViews>
    <sheetView showGridLines="0" zoomScale="166" zoomScaleNormal="115" zoomScalePageLayoutView="150" workbookViewId="0">
      <selection activeCell="A3" sqref="A3:M12"/>
    </sheetView>
  </sheetViews>
  <sheetFormatPr baseColWidth="10" defaultColWidth="11.42578125" defaultRowHeight="12.75" x14ac:dyDescent="0.2"/>
  <cols>
    <col min="1" max="1" width="20.140625" style="200" bestFit="1" customWidth="1"/>
    <col min="2" max="2" width="6.7109375" style="200" bestFit="1" customWidth="1"/>
    <col min="3" max="4" width="12.42578125" style="200" bestFit="1" customWidth="1"/>
    <col min="5" max="5" width="11.28515625" style="200" bestFit="1" customWidth="1"/>
    <col min="6" max="7" width="7.42578125" style="200" bestFit="1" customWidth="1"/>
    <col min="8" max="8" width="8.28515625" style="200" bestFit="1" customWidth="1"/>
    <col min="9" max="9" width="7.28515625" style="200" bestFit="1" customWidth="1"/>
    <col min="10" max="10" width="5.42578125" style="200" bestFit="1" customWidth="1"/>
    <col min="11" max="11" width="11.140625" style="200" bestFit="1" customWidth="1"/>
    <col min="12" max="12" width="6.7109375" style="200" bestFit="1" customWidth="1"/>
    <col min="13" max="13" width="11" style="200" bestFit="1" customWidth="1"/>
    <col min="14" max="14" width="5.28515625" style="200" bestFit="1" customWidth="1"/>
    <col min="15" max="15" width="31.7109375" style="200" bestFit="1" customWidth="1"/>
    <col min="16" max="16" width="32.28515625" style="200" bestFit="1" customWidth="1"/>
    <col min="17" max="16384" width="11.42578125" style="200"/>
  </cols>
  <sheetData>
    <row r="1" spans="1:18" ht="21" x14ac:dyDescent="0.2">
      <c r="A1" s="293" t="s">
        <v>84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</row>
    <row r="2" spans="1:18" ht="13.5" thickBot="1" x14ac:dyDescent="0.25"/>
    <row r="3" spans="1:18" s="202" customFormat="1" ht="15.75" thickBot="1" x14ac:dyDescent="0.3">
      <c r="A3" s="201"/>
      <c r="B3" s="201"/>
      <c r="C3" s="201"/>
      <c r="D3" s="201"/>
      <c r="E3" s="201"/>
      <c r="F3" s="201"/>
      <c r="G3" s="201"/>
      <c r="H3" s="201"/>
      <c r="I3" s="201"/>
      <c r="J3" s="294" t="s">
        <v>85</v>
      </c>
      <c r="K3" s="295"/>
      <c r="L3" s="296" t="s">
        <v>86</v>
      </c>
      <c r="M3" s="297"/>
    </row>
    <row r="4" spans="1:18" s="202" customFormat="1" ht="15" x14ac:dyDescent="0.25">
      <c r="A4" s="113" t="s">
        <v>87</v>
      </c>
      <c r="B4" s="113" t="s">
        <v>0</v>
      </c>
      <c r="C4" s="113" t="s">
        <v>5</v>
      </c>
      <c r="D4" s="113" t="s">
        <v>88</v>
      </c>
      <c r="E4" s="113" t="s">
        <v>89</v>
      </c>
      <c r="F4" s="87" t="s">
        <v>90</v>
      </c>
      <c r="G4" s="203" t="s">
        <v>91</v>
      </c>
      <c r="H4" s="88" t="s">
        <v>92</v>
      </c>
      <c r="I4" s="88" t="s">
        <v>93</v>
      </c>
      <c r="J4" s="204" t="s">
        <v>10</v>
      </c>
      <c r="K4" s="205" t="s">
        <v>8</v>
      </c>
      <c r="L4" s="89" t="s">
        <v>10</v>
      </c>
      <c r="M4" s="90" t="s">
        <v>8</v>
      </c>
      <c r="O4" s="91" t="s">
        <v>94</v>
      </c>
      <c r="P4" s="92" t="s">
        <v>95</v>
      </c>
      <c r="Q4"/>
      <c r="R4"/>
    </row>
    <row r="5" spans="1:18" s="202" customFormat="1" ht="15" x14ac:dyDescent="0.25">
      <c r="A5" s="93" t="s">
        <v>148</v>
      </c>
      <c r="B5" s="94">
        <v>2.75E-2</v>
      </c>
      <c r="C5" s="95">
        <v>45596</v>
      </c>
      <c r="D5" s="206">
        <v>1000000</v>
      </c>
      <c r="E5" s="206"/>
      <c r="F5" s="94">
        <f t="shared" ref="F5:F10" si="0">+D5/$D$11</f>
        <v>0.16666666666666666</v>
      </c>
      <c r="G5" s="207">
        <f t="shared" ref="G5:G10" si="1">+E5/$E$11</f>
        <v>0</v>
      </c>
      <c r="H5" s="96">
        <v>2.8570000000000002</v>
      </c>
      <c r="I5" s="96">
        <v>3.1579999999999999</v>
      </c>
      <c r="J5" s="97">
        <f t="shared" ref="J5:J10" si="2">+F5*H5</f>
        <v>0.47616666666666668</v>
      </c>
      <c r="K5" s="98">
        <f t="shared" ref="K5:K10" si="3">+I5*F5</f>
        <v>0.52633333333333332</v>
      </c>
      <c r="L5" s="99">
        <f t="shared" ref="L5:L10" si="4">+H5*G5</f>
        <v>0</v>
      </c>
      <c r="M5" s="100">
        <f t="shared" ref="M5:M10" si="5">+I5*G5</f>
        <v>0</v>
      </c>
      <c r="O5" s="101" t="s">
        <v>96</v>
      </c>
      <c r="P5" s="101" t="s">
        <v>96</v>
      </c>
      <c r="Q5" s="101"/>
      <c r="R5"/>
    </row>
    <row r="6" spans="1:18" s="202" customFormat="1" ht="15" x14ac:dyDescent="0.25">
      <c r="A6" s="93" t="s">
        <v>149</v>
      </c>
      <c r="B6" s="94">
        <v>0.06</v>
      </c>
      <c r="C6" s="95">
        <v>47149</v>
      </c>
      <c r="D6" s="206">
        <v>1000000</v>
      </c>
      <c r="E6" s="206"/>
      <c r="F6" s="94">
        <f t="shared" si="0"/>
        <v>0.16666666666666666</v>
      </c>
      <c r="G6" s="207">
        <f t="shared" si="1"/>
        <v>0</v>
      </c>
      <c r="H6" s="96">
        <v>6.048</v>
      </c>
      <c r="I6" s="96">
        <v>8.9710000000000001</v>
      </c>
      <c r="J6" s="97">
        <f t="shared" si="2"/>
        <v>1.008</v>
      </c>
      <c r="K6" s="98">
        <f t="shared" si="3"/>
        <v>1.4951666666666665</v>
      </c>
      <c r="L6" s="99">
        <f t="shared" si="4"/>
        <v>0</v>
      </c>
      <c r="M6" s="100">
        <f t="shared" si="5"/>
        <v>0</v>
      </c>
      <c r="O6" s="101" t="s">
        <v>97</v>
      </c>
      <c r="P6" s="101" t="s">
        <v>97</v>
      </c>
      <c r="Q6" s="101"/>
      <c r="R6"/>
    </row>
    <row r="7" spans="1:18" s="202" customFormat="1" ht="15" x14ac:dyDescent="0.25">
      <c r="A7" s="93" t="s">
        <v>150</v>
      </c>
      <c r="B7" s="94">
        <v>1.4499999999999999E-2</v>
      </c>
      <c r="C7" s="95">
        <v>47238</v>
      </c>
      <c r="D7" s="206">
        <v>1000000</v>
      </c>
      <c r="E7" s="206"/>
      <c r="F7" s="94">
        <f t="shared" si="0"/>
        <v>0.16666666666666666</v>
      </c>
      <c r="G7" s="207">
        <f t="shared" si="1"/>
        <v>0</v>
      </c>
      <c r="H7" s="96">
        <v>7.07</v>
      </c>
      <c r="I7" s="96">
        <v>7.8440000000000003</v>
      </c>
      <c r="J7" s="97">
        <f t="shared" si="2"/>
        <v>1.1783333333333332</v>
      </c>
      <c r="K7" s="98">
        <f t="shared" si="3"/>
        <v>1.3073333333333332</v>
      </c>
      <c r="L7" s="99">
        <f t="shared" si="4"/>
        <v>0</v>
      </c>
      <c r="M7" s="100">
        <f t="shared" si="5"/>
        <v>0</v>
      </c>
      <c r="O7" s="91" t="s">
        <v>98</v>
      </c>
      <c r="P7" s="91" t="s">
        <v>99</v>
      </c>
      <c r="Q7"/>
      <c r="R7"/>
    </row>
    <row r="8" spans="1:18" s="202" customFormat="1" ht="15" x14ac:dyDescent="0.25">
      <c r="A8" s="93" t="s">
        <v>151</v>
      </c>
      <c r="B8" s="94">
        <v>1.8500000000000003E-2</v>
      </c>
      <c r="C8" s="95">
        <v>49520</v>
      </c>
      <c r="D8" s="206">
        <v>1000000</v>
      </c>
      <c r="E8" s="206"/>
      <c r="F8" s="94">
        <f t="shared" si="0"/>
        <v>0.16666666666666666</v>
      </c>
      <c r="G8" s="207">
        <f t="shared" si="1"/>
        <v>0</v>
      </c>
      <c r="H8" s="96">
        <v>12.346</v>
      </c>
      <c r="I8" s="96">
        <v>14.122</v>
      </c>
      <c r="J8" s="97">
        <f t="shared" si="2"/>
        <v>2.0576666666666665</v>
      </c>
      <c r="K8" s="98">
        <f t="shared" si="3"/>
        <v>2.3536666666666664</v>
      </c>
      <c r="L8" s="99">
        <f t="shared" si="4"/>
        <v>0</v>
      </c>
      <c r="M8" s="100">
        <f t="shared" si="5"/>
        <v>0</v>
      </c>
      <c r="O8" s="101" t="s">
        <v>100</v>
      </c>
      <c r="P8" s="101" t="s">
        <v>100</v>
      </c>
      <c r="Q8"/>
      <c r="R8" s="101"/>
    </row>
    <row r="9" spans="1:18" s="202" customFormat="1" ht="15" x14ac:dyDescent="0.25">
      <c r="A9" s="93" t="s">
        <v>152</v>
      </c>
      <c r="B9" s="94">
        <v>2.7000000000000003E-2</v>
      </c>
      <c r="C9" s="95">
        <v>54362</v>
      </c>
      <c r="D9" s="206">
        <v>1000000</v>
      </c>
      <c r="E9" s="206"/>
      <c r="F9" s="94">
        <f t="shared" si="0"/>
        <v>0.16666666666666666</v>
      </c>
      <c r="G9" s="207">
        <f t="shared" si="1"/>
        <v>0</v>
      </c>
      <c r="H9" s="96">
        <v>21.452000000000002</v>
      </c>
      <c r="I9" s="96">
        <v>27.838000000000001</v>
      </c>
      <c r="J9" s="97">
        <f t="shared" si="2"/>
        <v>3.5753333333333335</v>
      </c>
      <c r="K9" s="98">
        <f t="shared" si="3"/>
        <v>4.6396666666666668</v>
      </c>
      <c r="L9" s="99">
        <f t="shared" si="4"/>
        <v>0</v>
      </c>
      <c r="M9" s="100">
        <f t="shared" si="5"/>
        <v>0</v>
      </c>
      <c r="O9" s="101" t="s">
        <v>101</v>
      </c>
      <c r="P9" s="101" t="s">
        <v>101</v>
      </c>
      <c r="Q9"/>
      <c r="R9"/>
    </row>
    <row r="10" spans="1:18" s="202" customFormat="1" ht="15.75" thickBot="1" x14ac:dyDescent="0.3">
      <c r="A10" s="93" t="s">
        <v>153</v>
      </c>
      <c r="B10" s="94">
        <v>1.4500000000000001E-2</v>
      </c>
      <c r="C10" s="95">
        <v>62762</v>
      </c>
      <c r="D10" s="206">
        <v>1000000</v>
      </c>
      <c r="E10" s="206">
        <v>6000000</v>
      </c>
      <c r="F10" s="94">
        <f t="shared" si="0"/>
        <v>0.16666666666666666</v>
      </c>
      <c r="G10" s="207">
        <f t="shared" si="1"/>
        <v>1</v>
      </c>
      <c r="H10" s="96">
        <v>31.856999999999999</v>
      </c>
      <c r="I10" s="96">
        <v>31.856999999999999</v>
      </c>
      <c r="J10" s="97">
        <f t="shared" si="2"/>
        <v>5.3094999999999999</v>
      </c>
      <c r="K10" s="98">
        <f t="shared" si="3"/>
        <v>5.3094999999999999</v>
      </c>
      <c r="L10" s="99">
        <f t="shared" si="4"/>
        <v>31.856999999999999</v>
      </c>
      <c r="M10" s="100">
        <f t="shared" si="5"/>
        <v>31.856999999999999</v>
      </c>
    </row>
    <row r="11" spans="1:18" s="202" customFormat="1" ht="15.75" thickBot="1" x14ac:dyDescent="0.3">
      <c r="A11" s="298" t="s">
        <v>102</v>
      </c>
      <c r="B11" s="298"/>
      <c r="C11" s="298"/>
      <c r="D11" s="102">
        <f>SUM(D5:D10)</f>
        <v>6000000</v>
      </c>
      <c r="E11" s="208">
        <f>SUM(E5:E10)</f>
        <v>6000000</v>
      </c>
      <c r="F11" s="201"/>
      <c r="G11" s="201"/>
      <c r="H11" s="201"/>
      <c r="I11" s="201"/>
      <c r="J11" s="103">
        <f>SUM(J5:J10)</f>
        <v>13.604999999999999</v>
      </c>
      <c r="K11" s="104">
        <f>SUM(K5:K10)</f>
        <v>15.631666666666666</v>
      </c>
      <c r="L11" s="105">
        <f>SUM(L5:L10)</f>
        <v>31.856999999999999</v>
      </c>
      <c r="M11" s="106">
        <f>SUM(M5:M10)</f>
        <v>31.856999999999999</v>
      </c>
    </row>
    <row r="12" spans="1:18" s="209" customFormat="1" ht="16.5" customHeight="1" thickBot="1" x14ac:dyDescent="0.3">
      <c r="J12" s="103" t="s">
        <v>103</v>
      </c>
      <c r="K12" s="107">
        <f>+D11*K11*0.01%</f>
        <v>9379</v>
      </c>
      <c r="L12" s="105" t="s">
        <v>103</v>
      </c>
      <c r="M12" s="108">
        <f>+E11*M11*0.01%</f>
        <v>19114.2</v>
      </c>
    </row>
    <row r="13" spans="1:18" s="209" customFormat="1" ht="15.75" x14ac:dyDescent="0.25"/>
    <row r="14" spans="1:18" s="209" customFormat="1" ht="15.75" x14ac:dyDescent="0.25"/>
    <row r="15" spans="1:18" s="209" customFormat="1" ht="15.75" x14ac:dyDescent="0.25">
      <c r="D15" s="210"/>
    </row>
    <row r="16" spans="1:18" s="209" customFormat="1" ht="15.75" x14ac:dyDescent="0.25">
      <c r="D16" s="210"/>
    </row>
    <row r="17" spans="1:6" s="209" customFormat="1" ht="21.95" customHeight="1" x14ac:dyDescent="0.25">
      <c r="D17" s="210"/>
    </row>
    <row r="18" spans="1:6" s="209" customFormat="1" ht="15.75" x14ac:dyDescent="0.25">
      <c r="D18" s="210"/>
      <c r="F18" s="210"/>
    </row>
    <row r="19" spans="1:6" s="209" customFormat="1" ht="15.75" x14ac:dyDescent="0.25">
      <c r="D19" s="210"/>
      <c r="F19" s="210"/>
    </row>
    <row r="20" spans="1:6" s="209" customFormat="1" ht="15.75" x14ac:dyDescent="0.25">
      <c r="D20" s="210"/>
      <c r="F20" s="210"/>
    </row>
    <row r="21" spans="1:6" ht="15.75" x14ac:dyDescent="0.25">
      <c r="A21" s="209"/>
      <c r="B21" s="209"/>
      <c r="C21" s="209"/>
    </row>
    <row r="22" spans="1:6" ht="15.75" x14ac:dyDescent="0.25">
      <c r="A22" s="209"/>
      <c r="B22" s="209"/>
      <c r="C22" s="209"/>
    </row>
    <row r="23" spans="1:6" ht="15.75" x14ac:dyDescent="0.25">
      <c r="A23" s="209"/>
      <c r="B23" s="209"/>
      <c r="C23" s="209"/>
    </row>
    <row r="24" spans="1:6" ht="15.75" x14ac:dyDescent="0.25">
      <c r="A24" s="209"/>
      <c r="B24" s="209"/>
      <c r="C24" s="209"/>
    </row>
    <row r="25" spans="1:6" ht="15.75" x14ac:dyDescent="0.25">
      <c r="A25" s="209"/>
      <c r="B25" s="209"/>
      <c r="C25" s="209"/>
    </row>
  </sheetData>
  <mergeCells count="4">
    <mergeCell ref="A1:P1"/>
    <mergeCell ref="J3:K3"/>
    <mergeCell ref="L3:M3"/>
    <mergeCell ref="A11:C11"/>
  </mergeCells>
  <pageMargins left="0.75" right="0.75" top="1" bottom="1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AA35-1ADA-2840-98A8-F9BAFE44272C}">
  <dimension ref="A1:I23"/>
  <sheetViews>
    <sheetView showGridLines="0" zoomScale="140" zoomScaleNormal="140" workbookViewId="0">
      <selection activeCell="B6" sqref="B6"/>
    </sheetView>
  </sheetViews>
  <sheetFormatPr baseColWidth="10" defaultRowHeight="12.75" x14ac:dyDescent="0.2"/>
  <cols>
    <col min="2" max="2" width="34.85546875" customWidth="1"/>
    <col min="6" max="6" width="14.42578125" customWidth="1"/>
  </cols>
  <sheetData>
    <row r="1" spans="1:9" ht="21" x14ac:dyDescent="0.2">
      <c r="A1" s="293" t="s">
        <v>155</v>
      </c>
      <c r="B1" s="293"/>
      <c r="C1" s="293"/>
      <c r="D1" s="293"/>
      <c r="E1" s="293"/>
      <c r="F1" s="293"/>
      <c r="G1" s="293"/>
      <c r="H1" s="293"/>
      <c r="I1" s="293"/>
    </row>
    <row r="2" spans="1:9" x14ac:dyDescent="0.2">
      <c r="A2" s="211"/>
      <c r="B2" s="211"/>
      <c r="C2" s="211"/>
      <c r="D2" s="211"/>
      <c r="E2" s="211"/>
      <c r="F2" s="211"/>
      <c r="G2" s="211"/>
      <c r="H2" s="211"/>
      <c r="I2" s="211"/>
    </row>
    <row r="3" spans="1:9" ht="23.25" x14ac:dyDescent="0.2">
      <c r="A3" s="301" t="s">
        <v>156</v>
      </c>
      <c r="B3" s="302"/>
      <c r="C3" s="302"/>
      <c r="D3" s="302"/>
      <c r="E3" s="302"/>
      <c r="F3" s="302"/>
      <c r="G3" s="302"/>
      <c r="H3" s="302"/>
      <c r="I3" s="303"/>
    </row>
    <row r="4" spans="1:9" ht="15.75" x14ac:dyDescent="0.2">
      <c r="A4" s="212"/>
      <c r="B4" s="213"/>
      <c r="C4" s="304" t="s">
        <v>6</v>
      </c>
      <c r="D4" s="305"/>
      <c r="E4" s="214"/>
      <c r="F4" s="215">
        <v>5000000</v>
      </c>
      <c r="G4" s="214"/>
      <c r="H4" s="214"/>
      <c r="I4" s="216"/>
    </row>
    <row r="5" spans="1:9" x14ac:dyDescent="0.2">
      <c r="A5" s="217"/>
      <c r="B5" s="218"/>
      <c r="C5" s="219" t="s">
        <v>157</v>
      </c>
      <c r="D5" s="220" t="s">
        <v>5</v>
      </c>
      <c r="E5" s="221" t="s">
        <v>7</v>
      </c>
      <c r="F5" s="221" t="s">
        <v>11</v>
      </c>
      <c r="G5" s="221" t="s">
        <v>154</v>
      </c>
      <c r="H5" s="221" t="s">
        <v>3</v>
      </c>
      <c r="I5" s="222"/>
    </row>
    <row r="6" spans="1:9" ht="15.75" x14ac:dyDescent="0.2">
      <c r="A6" s="223" t="s">
        <v>168</v>
      </c>
      <c r="B6" s="252" t="s">
        <v>166</v>
      </c>
      <c r="C6" s="224">
        <v>4.3999999999999997E-2</v>
      </c>
      <c r="D6" s="225">
        <v>45230</v>
      </c>
      <c r="E6" s="226">
        <v>1.09951</v>
      </c>
      <c r="F6" s="227">
        <f>B9*E6*F4</f>
        <v>28225676.174496647</v>
      </c>
      <c r="G6" s="228">
        <v>1.9370000000000001</v>
      </c>
      <c r="H6" s="226">
        <v>-6.8999999999999999E-3</v>
      </c>
      <c r="I6" s="222"/>
    </row>
    <row r="7" spans="1:9" ht="15.75" x14ac:dyDescent="0.2">
      <c r="A7" s="219" t="str">
        <f>IF(A6="Venta","Compra","Venta")</f>
        <v>Compra</v>
      </c>
      <c r="B7" s="252" t="s">
        <v>167</v>
      </c>
      <c r="C7" s="229">
        <v>5.0000000000000001E-3</v>
      </c>
      <c r="D7" s="230">
        <v>48152</v>
      </c>
      <c r="E7" s="231">
        <v>1.0105200000000001</v>
      </c>
      <c r="F7" s="232">
        <f>E7*F4</f>
        <v>5052600</v>
      </c>
      <c r="G7" s="233">
        <v>9.9450000000000003</v>
      </c>
      <c r="H7" s="231">
        <v>3.9399999999999999E-3</v>
      </c>
      <c r="I7" s="222"/>
    </row>
    <row r="8" spans="1:9" ht="15.75" x14ac:dyDescent="0.2">
      <c r="A8" s="234" t="s">
        <v>158</v>
      </c>
      <c r="B8" s="235">
        <f>(H7-H6)*10000</f>
        <v>108.39999999999999</v>
      </c>
      <c r="C8" s="211"/>
      <c r="D8" s="211"/>
      <c r="E8" s="211"/>
      <c r="F8" s="211"/>
      <c r="G8" s="211"/>
      <c r="H8" s="211"/>
      <c r="I8" s="222"/>
    </row>
    <row r="9" spans="1:9" ht="15.75" x14ac:dyDescent="0.2">
      <c r="A9" s="234" t="s">
        <v>159</v>
      </c>
      <c r="B9" s="236">
        <f>G7/G6</f>
        <v>5.1342281879194633</v>
      </c>
      <c r="C9" s="211"/>
      <c r="D9" s="211"/>
      <c r="E9" s="211"/>
      <c r="F9" s="211"/>
      <c r="G9" s="211"/>
      <c r="H9" s="211"/>
      <c r="I9" s="222"/>
    </row>
    <row r="10" spans="1:9" ht="15.75" x14ac:dyDescent="0.2">
      <c r="A10" s="237" t="s">
        <v>160</v>
      </c>
      <c r="B10" s="238" t="str">
        <f>IF(AND(A6="venta",D7&gt;D6),"Aplanamiento","Positivación")</f>
        <v>Aplanamiento</v>
      </c>
      <c r="C10" s="239"/>
      <c r="D10" s="239"/>
      <c r="E10" s="239"/>
      <c r="F10" s="239"/>
      <c r="G10" s="239"/>
      <c r="H10" s="239"/>
      <c r="I10" s="240"/>
    </row>
    <row r="11" spans="1:9" x14ac:dyDescent="0.2">
      <c r="A11" s="239"/>
      <c r="B11" s="239"/>
      <c r="C11" s="239"/>
      <c r="D11" s="239"/>
      <c r="E11" s="239"/>
      <c r="F11" s="239"/>
      <c r="G11" s="239"/>
      <c r="H11" s="239"/>
      <c r="I11" s="239"/>
    </row>
    <row r="12" spans="1:9" ht="23.25" x14ac:dyDescent="0.2">
      <c r="A12" s="301" t="s">
        <v>161</v>
      </c>
      <c r="B12" s="302"/>
      <c r="C12" s="302"/>
      <c r="D12" s="302"/>
      <c r="E12" s="302"/>
      <c r="F12" s="302"/>
      <c r="G12" s="302"/>
      <c r="H12" s="302"/>
      <c r="I12" s="303"/>
    </row>
    <row r="13" spans="1:9" ht="15.75" x14ac:dyDescent="0.2">
      <c r="A13" s="212"/>
      <c r="B13" s="213"/>
      <c r="C13" s="304" t="s">
        <v>6</v>
      </c>
      <c r="D13" s="305"/>
      <c r="E13" s="214"/>
      <c r="F13" s="215">
        <f>+F4</f>
        <v>5000000</v>
      </c>
      <c r="G13" s="214"/>
      <c r="H13" s="214"/>
      <c r="I13" s="216"/>
    </row>
    <row r="14" spans="1:9" x14ac:dyDescent="0.2">
      <c r="A14" s="241"/>
      <c r="B14" s="211"/>
      <c r="C14" s="219" t="s">
        <v>157</v>
      </c>
      <c r="D14" s="220" t="s">
        <v>5</v>
      </c>
      <c r="E14" s="221" t="s">
        <v>7</v>
      </c>
      <c r="F14" s="221" t="s">
        <v>11</v>
      </c>
      <c r="G14" s="221" t="s">
        <v>154</v>
      </c>
      <c r="H14" s="221" t="s">
        <v>3</v>
      </c>
      <c r="I14" s="221" t="s">
        <v>162</v>
      </c>
    </row>
    <row r="15" spans="1:9" ht="15.75" x14ac:dyDescent="0.2">
      <c r="A15" s="219" t="str">
        <f>A7</f>
        <v>Compra</v>
      </c>
      <c r="B15" s="218" t="str">
        <f>B6</f>
        <v>SPGB 4,40% 31/10/23</v>
      </c>
      <c r="C15" s="224">
        <f>+C6</f>
        <v>4.3999999999999997E-2</v>
      </c>
      <c r="D15" s="225">
        <f>+D6</f>
        <v>45230</v>
      </c>
      <c r="E15" s="226">
        <f>E6+I15*-G15</f>
        <v>1.09941315</v>
      </c>
      <c r="F15" s="227">
        <f>B9*E15*F13</f>
        <v>28223189.924496643</v>
      </c>
      <c r="G15" s="228">
        <f>+G6</f>
        <v>1.9370000000000001</v>
      </c>
      <c r="H15" s="226">
        <f>H6+I15</f>
        <v>-6.8500000000000002E-3</v>
      </c>
      <c r="I15" s="242">
        <v>5.0000000000000002E-5</v>
      </c>
    </row>
    <row r="16" spans="1:9" ht="15.75" x14ac:dyDescent="0.2">
      <c r="A16" s="219" t="str">
        <f>A6</f>
        <v>Venta</v>
      </c>
      <c r="B16" s="218" t="str">
        <f>B7</f>
        <v>SPGB 0,50% 31/10/31</v>
      </c>
      <c r="C16" s="229">
        <f>+C7</f>
        <v>5.0000000000000001E-3</v>
      </c>
      <c r="D16" s="230">
        <f>+D7</f>
        <v>48152</v>
      </c>
      <c r="E16" s="231">
        <f>E7+I16*-G16</f>
        <v>1.0110172500000001</v>
      </c>
      <c r="F16" s="232">
        <f>E16*F13</f>
        <v>5055086.25</v>
      </c>
      <c r="G16" s="233">
        <f>+G7</f>
        <v>9.9450000000000003</v>
      </c>
      <c r="H16" s="231">
        <f>H7+I16</f>
        <v>3.8899999999999998E-3</v>
      </c>
      <c r="I16" s="243">
        <v>-5.0000000000000002E-5</v>
      </c>
    </row>
    <row r="17" spans="1:9" ht="15.75" x14ac:dyDescent="0.2">
      <c r="A17" s="234" t="s">
        <v>158</v>
      </c>
      <c r="B17" s="235">
        <f>(H16-H15)*10000</f>
        <v>107.39999999999999</v>
      </c>
      <c r="C17" s="211"/>
      <c r="D17" s="211"/>
      <c r="E17" s="211"/>
      <c r="F17" s="211"/>
      <c r="G17" s="211"/>
      <c r="H17" s="211"/>
      <c r="I17" s="222"/>
    </row>
    <row r="18" spans="1:9" ht="15.75" x14ac:dyDescent="0.2">
      <c r="A18" s="237" t="s">
        <v>163</v>
      </c>
      <c r="B18" s="238" t="str">
        <f>IF(B17&gt;B8,"Positivación","Aplanamiento")</f>
        <v>Aplanamiento</v>
      </c>
      <c r="C18" s="239"/>
      <c r="D18" s="239"/>
      <c r="E18" s="239"/>
      <c r="F18" s="239"/>
      <c r="G18" s="239"/>
      <c r="H18" s="239"/>
      <c r="I18" s="240"/>
    </row>
    <row r="19" spans="1:9" x14ac:dyDescent="0.2">
      <c r="A19" s="211"/>
      <c r="B19" s="211"/>
      <c r="C19" s="211"/>
      <c r="D19" s="211"/>
      <c r="E19" s="211"/>
      <c r="F19" s="211"/>
      <c r="G19" s="211"/>
      <c r="H19" s="211"/>
      <c r="I19" s="211"/>
    </row>
    <row r="20" spans="1:9" x14ac:dyDescent="0.2">
      <c r="A20" s="211"/>
      <c r="B20" s="211"/>
      <c r="C20" s="304" t="s">
        <v>6</v>
      </c>
      <c r="D20" s="305"/>
      <c r="E20" s="211"/>
      <c r="F20" s="211"/>
      <c r="G20" s="211"/>
      <c r="H20" s="211"/>
      <c r="I20" s="211"/>
    </row>
    <row r="21" spans="1:9" x14ac:dyDescent="0.2">
      <c r="A21" s="211"/>
      <c r="B21" s="244" t="s">
        <v>164</v>
      </c>
      <c r="C21" s="245">
        <f>+C6</f>
        <v>4.3999999999999997E-2</v>
      </c>
      <c r="D21" s="246">
        <f>+D6</f>
        <v>45230</v>
      </c>
      <c r="E21" s="247">
        <f>IF(A6="Venta",F6-F15,F15-F6)</f>
        <v>2486.2500000037253</v>
      </c>
      <c r="F21" s="211"/>
      <c r="G21" s="211"/>
      <c r="H21" s="211"/>
      <c r="I21" s="211"/>
    </row>
    <row r="22" spans="1:9" x14ac:dyDescent="0.2">
      <c r="A22" s="211"/>
      <c r="B22" s="244" t="s">
        <v>164</v>
      </c>
      <c r="C22" s="248">
        <f>+C7</f>
        <v>5.0000000000000001E-3</v>
      </c>
      <c r="D22" s="249">
        <f>+D7</f>
        <v>48152</v>
      </c>
      <c r="E22" s="250">
        <f>IF(A7="Venta",F7-F16,F16-F7)</f>
        <v>2486.25</v>
      </c>
      <c r="F22" s="211"/>
      <c r="G22" s="211"/>
      <c r="H22" s="211"/>
      <c r="I22" s="211"/>
    </row>
    <row r="23" spans="1:9" x14ac:dyDescent="0.2">
      <c r="A23" s="211"/>
      <c r="B23" s="211"/>
      <c r="C23" s="299" t="s">
        <v>165</v>
      </c>
      <c r="D23" s="300"/>
      <c r="E23" s="251">
        <f>SUM(E21:E22)</f>
        <v>4972.5000000037253</v>
      </c>
      <c r="F23" s="211"/>
      <c r="G23" s="211"/>
      <c r="H23" s="211"/>
      <c r="I23" s="211"/>
    </row>
  </sheetData>
  <mergeCells count="7">
    <mergeCell ref="C23:D23"/>
    <mergeCell ref="A1:I1"/>
    <mergeCell ref="A3:I3"/>
    <mergeCell ref="C4:D4"/>
    <mergeCell ref="A12:I12"/>
    <mergeCell ref="C13:D13"/>
    <mergeCell ref="C20:D20"/>
  </mergeCells>
  <dataValidations count="1">
    <dataValidation type="list" allowBlank="1" showInputMessage="1" showErrorMessage="1" sqref="A6" xr:uid="{AD7FA7EF-9C25-4640-BD55-E0AA4E63C543}">
      <formula1>"Compra,Venta"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5</vt:i4>
      </vt:variant>
    </vt:vector>
  </HeadingPairs>
  <TitlesOfParts>
    <vt:vector size="14" baseType="lpstr">
      <vt:lpstr>Implicitos</vt:lpstr>
      <vt:lpstr>Calculadora</vt:lpstr>
      <vt:lpstr>Datos Bonos</vt:lpstr>
      <vt:lpstr>Cot-Px</vt:lpstr>
      <vt:lpstr>Forward</vt:lpstr>
      <vt:lpstr>Precio bono</vt:lpstr>
      <vt:lpstr>Duración</vt:lpstr>
      <vt:lpstr>Gestión Duración</vt:lpstr>
      <vt:lpstr>V. Relativo</vt:lpstr>
      <vt:lpstr>basebonos</vt:lpstr>
      <vt:lpstr>'Cot-Px'!cupon1</vt:lpstr>
      <vt:lpstr>'Cot-Px'!cupon2</vt:lpstr>
      <vt:lpstr>'Cot-Px'!cupon3</vt:lpstr>
      <vt:lpstr>'Cot-Px'!cuponbono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Gestión Carteras RF</dc:title>
  <dc:subject/>
  <dc:creator>Emilio Gamarra</dc:creator>
  <cp:keywords/>
  <dc:description/>
  <cp:lastModifiedBy>Pedro Ventura Gomez</cp:lastModifiedBy>
  <dcterms:created xsi:type="dcterms:W3CDTF">1999-11-09T13:23:56Z</dcterms:created>
  <dcterms:modified xsi:type="dcterms:W3CDTF">2023-02-06T09:37:06Z</dcterms:modified>
  <cp:category/>
</cp:coreProperties>
</file>