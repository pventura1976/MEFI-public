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fka\Google Drive\My books\FM\FM5\Section 2 - Bonds\Chapter 07 - Bond's Duration\"/>
    </mc:Choice>
  </mc:AlternateContent>
  <xr:revisionPtr revIDLastSave="0" documentId="13_ncr:1_{974CA0B6-2E78-433F-9F60-19D7D0B5E934}" xr6:coauthVersionLast="45" xr6:coauthVersionMax="45" xr10:uidLastSave="{00000000-0000-0000-0000-000000000000}"/>
  <bookViews>
    <workbookView xWindow="-90" yWindow="-90" windowWidth="19380" windowHeight="10530" xr2:uid="{00000000-000D-0000-FFFF-FFFF00000000}"/>
  </bookViews>
  <sheets>
    <sheet name="Bond basics" sheetId="24" r:id="rId1"/>
    <sheet name="Duration" sheetId="1" r:id="rId2"/>
    <sheet name="D as price elasticity" sheetId="10" r:id="rId3"/>
    <sheet name="BABCOCK'S FORMULA" sheetId="11" r:id="rId4"/>
    <sheet name="Effect of coupon on D" sheetId="12" r:id="rId5"/>
    <sheet name="Effect of T on D " sheetId="15" r:id="rId6"/>
    <sheet name="D with uneven periods" sheetId="3" r:id="rId7"/>
    <sheet name="IRR with uneven payments" sheetId="9" r:id="rId8"/>
    <sheet name="YTM of eneven periods" sheetId="8" r:id="rId9"/>
    <sheet name="Convexity of bond" sheetId="22" r:id="rId10"/>
    <sheet name="Convexity approximation" sheetId="23" r:id="rId11"/>
    <sheet name="Immunization problem" sheetId="16" r:id="rId12"/>
    <sheet name="Badic innumization" sheetId="17" r:id="rId13"/>
    <sheet name="Duration convexity" sheetId="21" r:id="rId14"/>
  </sheets>
  <functionGroups builtInGroupCount="19"/>
  <calcPr calcId="191029" calcMode="autoNoTable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24" l="1"/>
  <c r="B9" i="24"/>
  <c r="B16" i="24"/>
  <c r="G15" i="24"/>
  <c r="F15" i="24"/>
  <c r="E15" i="24"/>
  <c r="D15" i="24"/>
  <c r="C15" i="24"/>
  <c r="B15" i="24"/>
  <c r="B10" i="24"/>
  <c r="G7" i="24"/>
  <c r="F7" i="24"/>
  <c r="E7" i="24"/>
  <c r="D7" i="24"/>
  <c r="C7" i="24"/>
  <c r="C16" i="24"/>
  <c r="C12" i="24"/>
  <c r="C9" i="24"/>
  <c r="H7" i="24"/>
  <c r="C10" i="24"/>
  <c r="B24" i="23" l="1"/>
  <c r="B30" i="23" s="1"/>
  <c r="C11" i="23"/>
  <c r="B20" i="23"/>
  <c r="C20" i="23" s="1"/>
  <c r="B12" i="23"/>
  <c r="C12" i="23" s="1"/>
  <c r="B13" i="23"/>
  <c r="C13" i="23" s="1"/>
  <c r="B14" i="23"/>
  <c r="C14" i="23" s="1"/>
  <c r="B15" i="23"/>
  <c r="C15" i="23" s="1"/>
  <c r="B16" i="23"/>
  <c r="C16" i="23" s="1"/>
  <c r="B17" i="23"/>
  <c r="C17" i="23" s="1"/>
  <c r="B18" i="23"/>
  <c r="C18" i="23" s="1"/>
  <c r="B19" i="23"/>
  <c r="C19" i="23" s="1"/>
  <c r="B11" i="23"/>
  <c r="B6" i="23"/>
  <c r="B8" i="23" s="1"/>
  <c r="B6" i="22"/>
  <c r="B10" i="22" s="1"/>
  <c r="B14" i="22" s="1"/>
  <c r="B21" i="1" a="1"/>
  <c r="B7" i="23"/>
  <c r="B7" i="22"/>
  <c r="E30" i="23"/>
  <c r="C26" i="23"/>
  <c r="C7" i="23"/>
  <c r="C25" i="23"/>
  <c r="D14" i="22"/>
  <c r="C24" i="23"/>
  <c r="C11" i="22"/>
  <c r="C6" i="23"/>
  <c r="C8" i="23"/>
  <c r="C10" i="22"/>
  <c r="D12" i="23"/>
  <c r="C6" i="22"/>
  <c r="D11" i="23"/>
  <c r="C7" i="22"/>
  <c r="B21" i="1" l="1"/>
  <c r="B26" i="23"/>
  <c r="D30" i="23" s="1"/>
  <c r="B25" i="23"/>
  <c r="C30" i="23" s="1"/>
  <c r="B11" i="22"/>
  <c r="C14" i="22" s="1"/>
  <c r="E25" i="21"/>
  <c r="D7" i="21"/>
  <c r="D8" i="21" s="1"/>
  <c r="D21" i="21" s="1"/>
  <c r="C7" i="21"/>
  <c r="C8" i="21" s="1"/>
  <c r="C21" i="21" s="1"/>
  <c r="B7" i="21"/>
  <c r="B8" i="21" s="1"/>
  <c r="B21" i="21" s="1"/>
  <c r="D7" i="17"/>
  <c r="D8" i="17" s="1"/>
  <c r="D17" i="17" s="1"/>
  <c r="C7" i="17"/>
  <c r="C8" i="17" s="1"/>
  <c r="C17" i="17" s="1"/>
  <c r="B7" i="17"/>
  <c r="B8" i="17" s="1"/>
  <c r="B17" i="17" s="1"/>
  <c r="D19" i="21"/>
  <c r="C19" i="21"/>
  <c r="B19" i="21"/>
  <c r="D18" i="21"/>
  <c r="C18" i="21"/>
  <c r="B18" i="21"/>
  <c r="B20" i="21" s="1"/>
  <c r="D14" i="17"/>
  <c r="C14" i="17"/>
  <c r="B14" i="17"/>
  <c r="J4" i="16"/>
  <c r="D15" i="17"/>
  <c r="D16" i="17" s="1"/>
  <c r="C15" i="17"/>
  <c r="C16" i="17" s="1"/>
  <c r="B15" i="17"/>
  <c r="B9" i="17"/>
  <c r="B9" i="21"/>
  <c r="C9" i="21"/>
  <c r="D9" i="17"/>
  <c r="D9" i="21"/>
  <c r="C9" i="17"/>
  <c r="E18" i="17"/>
  <c r="C13" i="21"/>
  <c r="E8" i="17"/>
  <c r="C11" i="21"/>
  <c r="E17" i="17"/>
  <c r="E7" i="17"/>
  <c r="E9" i="17"/>
  <c r="F22" i="21"/>
  <c r="E15" i="17"/>
  <c r="E7" i="21"/>
  <c r="C12" i="21"/>
  <c r="E9" i="21"/>
  <c r="E16" i="17"/>
  <c r="F26" i="21"/>
  <c r="E8" i="21"/>
  <c r="E22" i="17"/>
  <c r="E14" i="17"/>
  <c r="C20" i="21" l="1"/>
  <c r="C22" i="21" s="1"/>
  <c r="C26" i="21" s="1"/>
  <c r="B11" i="21"/>
  <c r="D20" i="21"/>
  <c r="D22" i="21" s="1"/>
  <c r="D26" i="21" s="1"/>
  <c r="B22" i="21"/>
  <c r="B16" i="17"/>
  <c r="B18" i="17" s="1"/>
  <c r="B22" i="17" s="1"/>
  <c r="A10" i="16"/>
  <c r="D18" i="17"/>
  <c r="D22" i="17" s="1"/>
  <c r="C18" i="17"/>
  <c r="C22" i="17" s="1"/>
  <c r="B12" i="21" l="1"/>
  <c r="B13" i="21" s="1"/>
  <c r="B26" i="21"/>
  <c r="E22" i="21" l="1"/>
  <c r="E26" i="21" s="1"/>
  <c r="B6" i="8"/>
  <c r="B7" i="9"/>
  <c r="B12" i="8"/>
  <c r="C16" i="9"/>
  <c r="C7" i="9"/>
  <c r="B18" i="3" l="1"/>
  <c r="B14" i="3"/>
  <c r="B13" i="3"/>
  <c r="B12" i="3"/>
  <c r="B11" i="3"/>
  <c r="B10" i="3"/>
  <c r="B19" i="3"/>
  <c r="D10" i="3"/>
  <c r="C19" i="3"/>
  <c r="C18" i="3"/>
  <c r="C17" i="3"/>
  <c r="C7" i="3"/>
  <c r="A33" i="12" l="1"/>
  <c r="A33" i="15"/>
  <c r="B4" i="15"/>
  <c r="B8" i="15" s="1"/>
  <c r="B12" i="15" s="1"/>
  <c r="B2" i="15"/>
  <c r="B4" i="12"/>
  <c r="B2" i="12"/>
  <c r="B13" i="11"/>
  <c r="C13" i="11"/>
  <c r="B9" i="11"/>
  <c r="C9" i="11"/>
  <c r="C7" i="11"/>
  <c r="B7" i="11"/>
  <c r="B8" i="11" s="1"/>
  <c r="B12" i="11" s="1"/>
  <c r="B14" i="10"/>
  <c r="C10" i="10"/>
  <c r="C18" i="10" s="1"/>
  <c r="B10" i="10"/>
  <c r="B18" i="10" s="1"/>
  <c r="C13" i="10"/>
  <c r="B13" i="10"/>
  <c r="B16" i="10" s="1"/>
  <c r="C7" i="10"/>
  <c r="B7" i="10"/>
  <c r="C8" i="10"/>
  <c r="C17" i="10" s="1"/>
  <c r="B8" i="10"/>
  <c r="B9" i="10" s="1"/>
  <c r="E16" i="1"/>
  <c r="B16" i="1"/>
  <c r="C8" i="12"/>
  <c r="D9" i="10"/>
  <c r="F16" i="1"/>
  <c r="C4" i="15"/>
  <c r="D12" i="11"/>
  <c r="C16" i="1"/>
  <c r="D7" i="11"/>
  <c r="C12" i="12"/>
  <c r="D13" i="11"/>
  <c r="C4" i="12"/>
  <c r="D8" i="11"/>
  <c r="C8" i="15"/>
  <c r="C2" i="12"/>
  <c r="C14" i="10"/>
  <c r="D13" i="10"/>
  <c r="C12" i="15"/>
  <c r="D17" i="10"/>
  <c r="D9" i="11"/>
  <c r="C2" i="15"/>
  <c r="D16" i="10"/>
  <c r="D10" i="10"/>
  <c r="C16" i="10" l="1"/>
  <c r="B17" i="10"/>
  <c r="C9" i="10"/>
  <c r="B23" i="1"/>
  <c r="B20" i="1"/>
  <c r="C13" i="1"/>
  <c r="C12" i="1"/>
  <c r="C11" i="1"/>
  <c r="C10" i="1"/>
  <c r="C9" i="1"/>
  <c r="C8" i="1"/>
  <c r="C7" i="1"/>
  <c r="C6" i="1"/>
  <c r="C5" i="1"/>
  <c r="C4" i="1"/>
  <c r="F13" i="1"/>
  <c r="F12" i="1"/>
  <c r="F11" i="1"/>
  <c r="F10" i="1"/>
  <c r="F9" i="1"/>
  <c r="F8" i="1"/>
  <c r="F7" i="1"/>
  <c r="F6" i="1"/>
  <c r="F5" i="1"/>
  <c r="F4" i="1"/>
  <c r="F15" i="1"/>
  <c r="D7" i="10"/>
  <c r="C17" i="1"/>
  <c r="C15" i="1"/>
  <c r="G4" i="1"/>
  <c r="D8" i="10"/>
  <c r="C20" i="1"/>
  <c r="C24" i="1"/>
  <c r="D13" i="1"/>
  <c r="F17" i="1"/>
  <c r="G13" i="1"/>
  <c r="C23" i="1"/>
  <c r="D4" i="1"/>
  <c r="C21" i="1"/>
  <c r="B8" i="12" l="1"/>
  <c r="B12" i="12" s="1"/>
  <c r="C8" i="11"/>
  <c r="C12" i="11" s="1"/>
  <c r="B15" i="1"/>
  <c r="E15" i="1"/>
  <c r="A10" i="3"/>
  <c r="A11" i="3" s="1"/>
  <c r="A12" i="3" s="1"/>
  <c r="C12" i="3" s="1"/>
  <c r="B15" i="9"/>
  <c r="B14" i="9"/>
  <c r="B13" i="9"/>
  <c r="B12" i="9"/>
  <c r="B11" i="9"/>
  <c r="B10" i="9"/>
  <c r="C12" i="8"/>
  <c r="D18" i="10"/>
  <c r="B24" i="1"/>
  <c r="E17" i="1" l="1"/>
  <c r="L5" i="1"/>
  <c r="L4" i="1"/>
  <c r="B17" i="1"/>
  <c r="K5" i="1"/>
  <c r="K4" i="1"/>
  <c r="C10" i="3"/>
  <c r="C11" i="3"/>
  <c r="B7" i="3"/>
  <c r="B16" i="9"/>
  <c r="A13" i="3"/>
  <c r="C13" i="3" s="1"/>
  <c r="A14" i="3" l="1"/>
  <c r="C14" i="3" s="1"/>
  <c r="B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<sst xmlns="http://schemas.openxmlformats.org/spreadsheetml/2006/main" count="219" uniqueCount="120">
  <si>
    <t>BASIC DURATION CALCULATION</t>
  </si>
  <si>
    <t>YTM</t>
  </si>
  <si>
    <t>Year</t>
  </si>
  <si>
    <r>
      <t>C</t>
    </r>
    <r>
      <rPr>
        <b/>
        <vertAlign val="subscript"/>
        <sz val="10"/>
        <rFont val="Arial"/>
        <family val="2"/>
      </rPr>
      <t>t,A</t>
    </r>
  </si>
  <si>
    <r>
      <t>C</t>
    </r>
    <r>
      <rPr>
        <b/>
        <vertAlign val="subscript"/>
        <sz val="10"/>
        <rFont val="Arial"/>
        <family val="2"/>
      </rPr>
      <t>t,B</t>
    </r>
  </si>
  <si>
    <t>Actual</t>
  </si>
  <si>
    <t>Bond price</t>
  </si>
  <si>
    <t>Duration</t>
  </si>
  <si>
    <t>graph title</t>
  </si>
  <si>
    <t>Alpha</t>
  </si>
  <si>
    <t>N</t>
  </si>
  <si>
    <t>Number of payments</t>
  </si>
  <si>
    <t>Coupon</t>
  </si>
  <si>
    <t>Face</t>
  </si>
  <si>
    <t>Period</t>
  </si>
  <si>
    <t>Payment</t>
  </si>
  <si>
    <t>Current date</t>
  </si>
  <si>
    <t>Annual coupon</t>
  </si>
  <si>
    <t>Paid January 1 for each of next 5 years</t>
  </si>
  <si>
    <t>Maturity date</t>
  </si>
  <si>
    <t>Face value</t>
  </si>
  <si>
    <t>Time to first payment</t>
  </si>
  <si>
    <t>Date</t>
  </si>
  <si>
    <t>Coupon rate</t>
  </si>
  <si>
    <t>Epsilon</t>
  </si>
  <si>
    <t>Price</t>
  </si>
  <si>
    <t>Data table:  Effect of maturity on duration</t>
  </si>
  <si>
    <t>Maturity, in years</t>
  </si>
  <si>
    <t>Data table:  Effect of coupon on duration</t>
  </si>
  <si>
    <t>Yield to maturity (i.e., discount rate)</t>
  </si>
  <si>
    <t>Time until first coupon payment (in years)</t>
  </si>
  <si>
    <t>USING XIRR TO CALCULATE THE IRR WITH UNEVEN PAYMENTS</t>
  </si>
  <si>
    <t>Bond A</t>
  </si>
  <si>
    <t>Maturity</t>
  </si>
  <si>
    <t>Bond B</t>
  </si>
  <si>
    <t>New discount rate</t>
  </si>
  <si>
    <t>Change in price</t>
  </si>
  <si>
    <r>
      <t xml:space="preserve">Using </t>
    </r>
    <r>
      <rPr>
        <b/>
        <sz val="10"/>
        <rFont val="Arial"/>
        <family val="2"/>
      </rPr>
      <t>MDuration</t>
    </r>
  </si>
  <si>
    <t>C, bond coupon</t>
  </si>
  <si>
    <t>Babcock's formula</t>
  </si>
  <si>
    <t>Standard formula</t>
  </si>
  <si>
    <t>N, bond maturity</t>
  </si>
  <si>
    <t>Two duration formulas</t>
  </si>
  <si>
    <t>EFFECT OF COUPON ON DURATION</t>
  </si>
  <si>
    <t>EFFECT OF MATURITY ON DURATION</t>
  </si>
  <si>
    <t>Newly defined VBA function</t>
  </si>
  <si>
    <r>
      <t xml:space="preserve">Using the Excel function </t>
    </r>
    <r>
      <rPr>
        <b/>
        <sz val="10"/>
        <rFont val="Arial"/>
        <family val="2"/>
      </rPr>
      <t xml:space="preserve">Duration </t>
    </r>
    <r>
      <rPr>
        <sz val="10"/>
        <rFont val="Arial"/>
        <family val="2"/>
      </rPr>
      <t xml:space="preserve">and the "home-made" function </t>
    </r>
    <r>
      <rPr>
        <b/>
        <sz val="10"/>
        <rFont val="Arial"/>
        <family val="2"/>
      </rPr>
      <t>Dduration</t>
    </r>
  </si>
  <si>
    <t>&lt;-- Controls the accuracy of the YTM calculation</t>
  </si>
  <si>
    <r>
      <t xml:space="preserve">This spreadsheet illustrates the </t>
    </r>
    <r>
      <rPr>
        <b/>
        <sz val="10"/>
        <rFont val="Arial"/>
        <family val="2"/>
      </rPr>
      <t>unevenYTM</t>
    </r>
    <r>
      <rPr>
        <sz val="10"/>
        <rFont val="Arial"/>
        <family val="2"/>
      </rPr>
      <t xml:space="preserve"> VBA function:  
the syntax of this function is    </t>
    </r>
    <r>
      <rPr>
        <b/>
        <sz val="10"/>
        <rFont val="Arial"/>
        <family val="2"/>
      </rPr>
      <t>unevenYTM</t>
    </r>
    <r>
      <rPr>
        <sz val="10"/>
        <rFont val="Arial"/>
        <family val="2"/>
      </rPr>
      <t>(CouponRate,FaceValue,BondPrice,NumPayments,TimeFirst,epsilon)</t>
    </r>
  </si>
  <si>
    <r>
      <t>t*C</t>
    </r>
    <r>
      <rPr>
        <b/>
        <vertAlign val="subscript"/>
        <sz val="10"/>
        <rFont val="Arial"/>
        <family val="2"/>
      </rPr>
      <t>t,A</t>
    </r>
  </si>
  <si>
    <r>
      <t>t*C</t>
    </r>
    <r>
      <rPr>
        <b/>
        <vertAlign val="subscript"/>
        <sz val="10"/>
        <rFont val="Arial"/>
        <family val="2"/>
      </rPr>
      <t>t,B</t>
    </r>
  </si>
  <si>
    <t>Modified duration (direct)</t>
  </si>
  <si>
    <t>Modified duration (excel)</t>
  </si>
  <si>
    <t>New price (direct)</t>
  </si>
  <si>
    <t>% change in 1+YTM: ΔYTM/(1+YTM)</t>
  </si>
  <si>
    <t>Discount rate (YTM)</t>
  </si>
  <si>
    <r>
      <t xml:space="preserve">DURATION AS PRICE ELASTICITY
The change in the bond price is approximately 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P </t>
    </r>
    <r>
      <rPr>
        <b/>
        <sz val="14"/>
        <rFont val="Symbol"/>
        <family val="1"/>
        <charset val="2"/>
      </rPr>
      <t>»</t>
    </r>
    <r>
      <rPr>
        <b/>
        <sz val="14"/>
        <rFont val="Arial"/>
        <family val="2"/>
      </rPr>
      <t xml:space="preserve"> - Duration*Price*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YTM/(1+YTM)</t>
    </r>
  </si>
  <si>
    <r>
      <t xml:space="preserve">Approximated by duration
</t>
    </r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P </t>
    </r>
    <r>
      <rPr>
        <sz val="10"/>
        <rFont val="Symbol"/>
        <family val="1"/>
        <charset val="2"/>
      </rPr>
      <t xml:space="preserve"> »</t>
    </r>
    <r>
      <rPr>
        <sz val="10"/>
        <rFont val="Arial"/>
        <family val="2"/>
      </rPr>
      <t xml:space="preserve"> - Duration *Price*ΔYTM/(1+YTM)</t>
    </r>
  </si>
  <si>
    <t>Yield to maturity (YTM)</t>
  </si>
  <si>
    <t>Current coupon yield</t>
  </si>
  <si>
    <t>Present value annuity factor PAF(r,N)</t>
  </si>
  <si>
    <r>
      <t xml:space="preserve">BABCOCK'S FORMULA FOR DURATION
</t>
    </r>
    <r>
      <rPr>
        <b/>
        <sz val="12"/>
        <rFont val="Arial"/>
        <family val="2"/>
      </rPr>
      <t>Duration is convex combination of  current yield and present value factor:
D = N*y/YTM + (1 - y/YTM) * PV(YTM,N,1)*(1+YTM)</t>
    </r>
  </si>
  <si>
    <t>Bond coupon</t>
  </si>
  <si>
    <t>Bond maturity</t>
  </si>
  <si>
    <r>
      <t>t*C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 xml:space="preserve"> /(1+YTM)</t>
    </r>
    <r>
      <rPr>
        <b/>
        <vertAlign val="superscript"/>
        <sz val="10"/>
        <rFont val="Arial"/>
        <family val="2"/>
      </rPr>
      <t>t</t>
    </r>
  </si>
  <si>
    <t>DURATION OF BOND WITH UNEVEN PERIODS
Direct Calculation and DDuration Function</t>
  </si>
  <si>
    <t>Direct</t>
  </si>
  <si>
    <t>Formula</t>
  </si>
  <si>
    <t>Duration calculation</t>
  </si>
  <si>
    <t>Price of bond today</t>
  </si>
  <si>
    <t>ILLUSTRATION OF CALCULATION OF YTM OF UNEVEN PERIODS</t>
  </si>
  <si>
    <t>&lt;--=YEARFRAC(B2,A11,1)</t>
  </si>
  <si>
    <t>THE IMMUNIZATION PROBLEM</t>
  </si>
  <si>
    <t>Illustrated for the 30-year bond.</t>
  </si>
  <si>
    <t>When the interest rate increases:</t>
  </si>
  <si>
    <t>When the interest rate decreases:</t>
  </si>
  <si>
    <t>BASIC IMMUNIZATION EXAMPLE WITH 3 BONDS</t>
  </si>
  <si>
    <t>Yield to maturity</t>
  </si>
  <si>
    <t>Bond 1</t>
  </si>
  <si>
    <t>Bond 2</t>
  </si>
  <si>
    <t>Bond 3</t>
  </si>
  <si>
    <t>Face value equal to $1,000 of market value</t>
  </si>
  <si>
    <t>New yield to maturity</t>
  </si>
  <si>
    <t>Reinvested coupons</t>
  </si>
  <si>
    <t>Total</t>
  </si>
  <si>
    <t>Multiply by percent of face value bought</t>
  </si>
  <si>
    <t>Product</t>
  </si>
  <si>
    <t>New YTM</t>
  </si>
  <si>
    <t>Reinvest coupons from bond during years 1-10.</t>
  </si>
  <si>
    <t>Sell bond for PV of remaining coupons and redemption in year 30.</t>
  </si>
  <si>
    <r>
      <t xml:space="preserve">Value of reinvested coupons </t>
    </r>
    <r>
      <rPr>
        <b/>
        <sz val="10"/>
        <rFont val="Arial"/>
        <family val="2"/>
      </rPr>
      <t>increases</t>
    </r>
  </si>
  <si>
    <r>
      <t xml:space="preserve">Value of bond in year 10 </t>
    </r>
    <r>
      <rPr>
        <b/>
        <sz val="10"/>
        <rFont val="Arial"/>
        <family val="2"/>
      </rPr>
      <t>decreases</t>
    </r>
    <r>
      <rPr>
        <sz val="10"/>
        <rFont val="Arial"/>
        <family val="2"/>
      </rPr>
      <t>.</t>
    </r>
  </si>
  <si>
    <r>
      <t xml:space="preserve">Value of reinvested coupons </t>
    </r>
    <r>
      <rPr>
        <b/>
        <sz val="10"/>
        <rFont val="Arial"/>
        <family val="2"/>
      </rPr>
      <t>decreases</t>
    </r>
    <r>
      <rPr>
        <sz val="10"/>
        <rFont val="Arial"/>
        <family val="2"/>
      </rPr>
      <t>.</t>
    </r>
  </si>
  <si>
    <r>
      <t xml:space="preserve">Value of bond in year 10 </t>
    </r>
    <r>
      <rPr>
        <b/>
        <sz val="10"/>
        <rFont val="Arial"/>
        <family val="2"/>
      </rPr>
      <t>increases</t>
    </r>
    <r>
      <rPr>
        <sz val="10"/>
        <rFont val="Arial"/>
        <family val="2"/>
      </rPr>
      <t>.</t>
    </r>
  </si>
  <si>
    <t>In year 10:</t>
  </si>
  <si>
    <t>Data table:  Bond value sensitivity to interest rate</t>
  </si>
  <si>
    <t>New YTM in year 10</t>
  </si>
  <si>
    <t>Investment in Bond 1 (λ)</t>
  </si>
  <si>
    <t>Investment in Bond 3 (1-λ)</t>
  </si>
  <si>
    <t>Portfolio duration</t>
  </si>
  <si>
    <t>Portfolio of Bond 1 &amp; 3</t>
  </si>
  <si>
    <t xml:space="preserve"> IMMUNIZATION EXAMPLE - DURATION LINEARITY</t>
  </si>
  <si>
    <t>Price (direct)</t>
  </si>
  <si>
    <t>Price (duration approx.)</t>
  </si>
  <si>
    <t>New price (duration approx.)</t>
  </si>
  <si>
    <t>ACTUAL PRICE VS. DURATION APPROXIMATION</t>
  </si>
  <si>
    <t>DURATION AND CONVEXITY APPROXIMATION</t>
  </si>
  <si>
    <t>Convexity</t>
  </si>
  <si>
    <r>
      <t>C</t>
    </r>
    <r>
      <rPr>
        <b/>
        <vertAlign val="subscript"/>
        <sz val="10"/>
        <rFont val="Arial"/>
        <family val="2"/>
      </rPr>
      <t>t</t>
    </r>
  </si>
  <si>
    <r>
      <t>(t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+t)*C</t>
    </r>
    <r>
      <rPr>
        <b/>
        <vertAlign val="subscript"/>
        <sz val="10"/>
        <rFont val="Arial"/>
        <family val="2"/>
      </rPr>
      <t>t</t>
    </r>
  </si>
  <si>
    <t>Duration approximation</t>
  </si>
  <si>
    <t xml:space="preserve">Duration &amp; convexity </t>
  </si>
  <si>
    <t>Price (Direct)</t>
  </si>
  <si>
    <t>Price (Duration )</t>
  </si>
  <si>
    <t>Price (Duration + convexity adj.)</t>
  </si>
  <si>
    <t>Face value ($)</t>
  </si>
  <si>
    <t>Coupon frequency</t>
  </si>
  <si>
    <t>twice a year</t>
  </si>
  <si>
    <t>Cash flows</t>
  </si>
  <si>
    <t>THE PRICE AND YTM USING PRICE() AND YIELD()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</si>
</sst>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0"/>
    <numFmt numFmtId="166" formatCode="0.000%"/>
    <numFmt numFmtId="167" formatCode="_(* #,##0_);_(* \(#,##0\);_(* &quot;-&quot;??_);_(@_)"/>
    <numFmt numFmtId="168" formatCode="0.0000000000000000000"/>
    <numFmt numFmtId="169" formatCode="#,##0.0000"/>
    <numFmt numFmtId="170" formatCode="#,##0.000"/>
    <numFmt numFmtId="171" formatCode="[$-409]d/mmm/yyyy;@"/>
    <numFmt numFmtId="172" formatCode=";;"/>
    <numFmt numFmtId="173" formatCode="0.000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4"/>
      <name val="Symbol"/>
      <family val="1"/>
      <charset val="2"/>
    </font>
    <font>
      <sz val="10"/>
      <name val="Calibri"/>
      <family val="2"/>
    </font>
    <font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1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2" applyNumberFormat="1" applyFont="1"/>
    <xf numFmtId="165" fontId="0" fillId="0" borderId="0" xfId="0" applyNumberFormat="1"/>
    <xf numFmtId="14" fontId="0" fillId="0" borderId="0" xfId="0" applyNumberFormat="1"/>
    <xf numFmtId="167" fontId="0" fillId="0" borderId="0" xfId="1" applyNumberFormat="1" applyFont="1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2" applyNumberFormat="1" applyFont="1" applyAlignment="1"/>
    <xf numFmtId="0" fontId="0" fillId="0" borderId="0" xfId="0" applyAlignment="1">
      <alignment horizontal="centerContinuous"/>
    </xf>
    <xf numFmtId="167" fontId="0" fillId="0" borderId="0" xfId="0" applyNumberFormat="1"/>
    <xf numFmtId="168" fontId="0" fillId="0" borderId="0" xfId="0" applyNumberFormat="1"/>
    <xf numFmtId="10" fontId="0" fillId="0" borderId="0" xfId="0" applyNumberFormat="1"/>
    <xf numFmtId="0" fontId="7" fillId="0" borderId="0" xfId="0" applyFont="1"/>
    <xf numFmtId="0" fontId="5" fillId="0" borderId="0" xfId="0" applyFont="1"/>
    <xf numFmtId="0" fontId="10" fillId="0" borderId="0" xfId="0" applyFont="1"/>
    <xf numFmtId="165" fontId="0" fillId="0" borderId="0" xfId="0" quotePrefix="1" applyNumberFormat="1" applyAlignment="1"/>
    <xf numFmtId="0" fontId="9" fillId="0" borderId="0" xfId="0" applyFont="1"/>
    <xf numFmtId="9" fontId="9" fillId="0" borderId="0" xfId="0" applyNumberFormat="1" applyFont="1"/>
    <xf numFmtId="0" fontId="9" fillId="0" borderId="0" xfId="0" applyFont="1" applyAlignment="1">
      <alignment horizontal="center"/>
    </xf>
    <xf numFmtId="4" fontId="0" fillId="0" borderId="0" xfId="2" applyNumberFormat="1" applyFont="1" applyAlignment="1">
      <alignment horizontal="right"/>
    </xf>
    <xf numFmtId="4" fontId="0" fillId="0" borderId="0" xfId="2" applyNumberFormat="1" applyFont="1"/>
    <xf numFmtId="3" fontId="0" fillId="0" borderId="0" xfId="0" applyNumberFormat="1"/>
    <xf numFmtId="4" fontId="0" fillId="0" borderId="0" xfId="0" applyNumberFormat="1"/>
    <xf numFmtId="0" fontId="0" fillId="0" borderId="0" xfId="0" applyFill="1" applyAlignment="1">
      <alignment horizontal="left" indent="1"/>
    </xf>
    <xf numFmtId="4" fontId="0" fillId="0" borderId="0" xfId="0" applyNumberFormat="1" applyFill="1"/>
    <xf numFmtId="0" fontId="0" fillId="0" borderId="0" xfId="0" applyFill="1"/>
    <xf numFmtId="10" fontId="0" fillId="0" borderId="0" xfId="3" applyNumberFormat="1" applyFont="1"/>
    <xf numFmtId="169" fontId="0" fillId="0" borderId="0" xfId="0" applyNumberFormat="1"/>
    <xf numFmtId="167" fontId="2" fillId="0" borderId="0" xfId="1" applyNumberForma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4" fontId="0" fillId="0" borderId="0" xfId="1" applyNumberFormat="1" applyFont="1"/>
    <xf numFmtId="3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right"/>
    </xf>
    <xf numFmtId="4" fontId="0" fillId="2" borderId="0" xfId="0" quotePrefix="1" applyNumberFormat="1" applyFill="1" applyAlignment="1">
      <alignment horizontal="right"/>
    </xf>
    <xf numFmtId="4" fontId="0" fillId="2" borderId="0" xfId="0" applyNumberFormat="1" applyFill="1"/>
    <xf numFmtId="4" fontId="0" fillId="0" borderId="0" xfId="0" quotePrefix="1" applyNumberFormat="1" applyAlignment="1">
      <alignment horizontal="center"/>
    </xf>
    <xf numFmtId="170" fontId="0" fillId="0" borderId="0" xfId="0" applyNumberFormat="1"/>
    <xf numFmtId="0" fontId="2" fillId="2" borderId="0" xfId="0" applyFont="1" applyFill="1" applyAlignment="1">
      <alignment horizontal="left" wrapText="1" indent="1"/>
    </xf>
    <xf numFmtId="2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left" indent="1"/>
    </xf>
    <xf numFmtId="0" fontId="2" fillId="0" borderId="0" xfId="0" applyFont="1"/>
    <xf numFmtId="165" fontId="0" fillId="2" borderId="0" xfId="0" applyNumberFormat="1" applyFill="1"/>
    <xf numFmtId="2" fontId="0" fillId="0" borderId="0" xfId="0" applyNumberFormat="1"/>
    <xf numFmtId="4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0" borderId="0" xfId="0" applyNumberFormat="1" applyFill="1"/>
    <xf numFmtId="169" fontId="0" fillId="2" borderId="0" xfId="0" applyNumberFormat="1" applyFill="1" applyAlignment="1">
      <alignment horizontal="center"/>
    </xf>
    <xf numFmtId="0" fontId="1" fillId="0" borderId="0" xfId="0" applyFont="1" applyFill="1"/>
    <xf numFmtId="15" fontId="1" fillId="0" borderId="0" xfId="0" applyNumberFormat="1" applyFont="1" applyAlignment="1">
      <alignment horizontal="center"/>
    </xf>
    <xf numFmtId="171" fontId="0" fillId="0" borderId="0" xfId="0" applyNumberFormat="1"/>
    <xf numFmtId="166" fontId="0" fillId="2" borderId="0" xfId="3" quotePrefix="1" applyNumberFormat="1" applyFont="1" applyFill="1"/>
    <xf numFmtId="166" fontId="0" fillId="2" borderId="0" xfId="3" applyNumberFormat="1" applyFont="1" applyFill="1"/>
    <xf numFmtId="0" fontId="2" fillId="0" borderId="0" xfId="4"/>
    <xf numFmtId="0" fontId="1" fillId="0" borderId="0" xfId="4" applyFont="1" applyAlignment="1">
      <alignment horizontal="center"/>
    </xf>
    <xf numFmtId="0" fontId="11" fillId="0" borderId="0" xfId="4" applyFont="1"/>
    <xf numFmtId="9" fontId="2" fillId="0" borderId="0" xfId="4" applyNumberFormat="1"/>
    <xf numFmtId="10" fontId="2" fillId="0" borderId="0" xfId="4" applyNumberFormat="1"/>
    <xf numFmtId="166" fontId="2" fillId="0" borderId="0" xfId="4" applyNumberFormat="1"/>
    <xf numFmtId="3" fontId="2" fillId="0" borderId="0" xfId="4" applyNumberFormat="1"/>
    <xf numFmtId="8" fontId="2" fillId="0" borderId="0" xfId="4" applyNumberFormat="1"/>
    <xf numFmtId="44" fontId="0" fillId="0" borderId="0" xfId="2" applyFont="1"/>
    <xf numFmtId="165" fontId="2" fillId="0" borderId="0" xfId="4" applyNumberFormat="1"/>
    <xf numFmtId="0" fontId="1" fillId="0" borderId="0" xfId="4" applyFont="1"/>
    <xf numFmtId="172" fontId="2" fillId="0" borderId="0" xfId="4" applyNumberFormat="1"/>
    <xf numFmtId="0" fontId="2" fillId="2" borderId="0" xfId="4" applyFill="1"/>
    <xf numFmtId="8" fontId="2" fillId="2" borderId="0" xfId="4" applyNumberFormat="1" applyFill="1"/>
    <xf numFmtId="165" fontId="2" fillId="2" borderId="0" xfId="4" applyNumberFormat="1" applyFill="1"/>
    <xf numFmtId="0" fontId="2" fillId="3" borderId="0" xfId="4" applyFill="1"/>
    <xf numFmtId="0" fontId="2" fillId="3" borderId="3" xfId="4" applyFill="1" applyBorder="1"/>
    <xf numFmtId="0" fontId="2" fillId="3" borderId="1" xfId="4" applyFill="1" applyBorder="1"/>
    <xf numFmtId="0" fontId="2" fillId="3" borderId="4" xfId="4" applyFill="1" applyBorder="1"/>
    <xf numFmtId="0" fontId="2" fillId="3" borderId="5" xfId="4" applyFill="1" applyBorder="1"/>
    <xf numFmtId="0" fontId="2" fillId="3" borderId="2" xfId="4" applyFill="1" applyBorder="1"/>
    <xf numFmtId="0" fontId="2" fillId="3" borderId="6" xfId="4" applyFill="1" applyBorder="1"/>
    <xf numFmtId="0" fontId="2" fillId="3" borderId="0" xfId="4" applyFill="1" applyAlignment="1">
      <alignment vertical="center"/>
    </xf>
    <xf numFmtId="0" fontId="2" fillId="0" borderId="0" xfId="4" applyFill="1"/>
    <xf numFmtId="165" fontId="2" fillId="0" borderId="0" xfId="4" applyNumberFormat="1" applyFill="1"/>
    <xf numFmtId="0" fontId="1" fillId="0" borderId="0" xfId="4" applyFont="1" applyFill="1" applyAlignment="1">
      <alignment horizontal="center"/>
    </xf>
    <xf numFmtId="0" fontId="2" fillId="2" borderId="0" xfId="4" applyFont="1" applyFill="1"/>
    <xf numFmtId="44" fontId="2" fillId="2" borderId="0" xfId="2" applyFont="1" applyFill="1"/>
    <xf numFmtId="9" fontId="0" fillId="2" borderId="0" xfId="3" applyFont="1" applyFill="1"/>
    <xf numFmtId="173" fontId="2" fillId="0" borderId="0" xfId="4" applyNumberFormat="1"/>
    <xf numFmtId="173" fontId="1" fillId="0" borderId="0" xfId="4" applyNumberFormat="1" applyFont="1"/>
    <xf numFmtId="165" fontId="2" fillId="0" borderId="0" xfId="4" applyNumberFormat="1" applyFont="1"/>
    <xf numFmtId="8" fontId="2" fillId="0" borderId="0" xfId="4" applyNumberFormat="1" applyFill="1"/>
    <xf numFmtId="0" fontId="1" fillId="0" borderId="0" xfId="4" applyFont="1" applyFill="1" applyAlignment="1">
      <alignment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/>
    </xf>
    <xf numFmtId="0" fontId="2" fillId="3" borderId="7" xfId="4" applyFill="1" applyBorder="1" applyAlignment="1">
      <alignment horizontal="center" vertical="center"/>
    </xf>
    <xf numFmtId="0" fontId="2" fillId="3" borderId="8" xfId="4" applyFill="1" applyBorder="1" applyAlignment="1">
      <alignment horizontal="center" vertical="center"/>
    </xf>
    <xf numFmtId="0" fontId="2" fillId="3" borderId="9" xfId="4" applyFill="1" applyBorder="1" applyAlignment="1">
      <alignment horizontal="center" vertical="center"/>
    </xf>
    <xf numFmtId="0" fontId="2" fillId="3" borderId="12" xfId="4" applyFill="1" applyBorder="1" applyAlignment="1">
      <alignment horizontal="center" vertical="center"/>
    </xf>
    <xf numFmtId="0" fontId="2" fillId="3" borderId="13" xfId="4" applyFill="1" applyBorder="1" applyAlignment="1">
      <alignment horizontal="center" vertical="center"/>
    </xf>
    <xf numFmtId="0" fontId="2" fillId="3" borderId="14" xfId="4" applyFill="1" applyBorder="1" applyAlignment="1">
      <alignment horizontal="center" vertical="center"/>
    </xf>
    <xf numFmtId="0" fontId="7" fillId="3" borderId="0" xfId="4" applyFont="1" applyFill="1" applyAlignment="1">
      <alignment horizontal="center"/>
    </xf>
    <xf numFmtId="0" fontId="1" fillId="3" borderId="0" xfId="4" applyFont="1" applyFill="1" applyAlignment="1">
      <alignment horizontal="center"/>
    </xf>
    <xf numFmtId="0" fontId="2" fillId="3" borderId="7" xfId="4" applyFill="1" applyBorder="1" applyAlignment="1">
      <alignment horizontal="center" wrapText="1"/>
    </xf>
    <xf numFmtId="0" fontId="2" fillId="3" borderId="8" xfId="4" applyFill="1" applyBorder="1" applyAlignment="1">
      <alignment horizontal="center" wrapText="1"/>
    </xf>
    <xf numFmtId="0" fontId="2" fillId="3" borderId="9" xfId="4" applyFill="1" applyBorder="1" applyAlignment="1">
      <alignment horizontal="center" wrapText="1"/>
    </xf>
    <xf numFmtId="0" fontId="2" fillId="3" borderId="10" xfId="4" applyFill="1" applyBorder="1" applyAlignment="1">
      <alignment horizontal="center" wrapText="1"/>
    </xf>
    <xf numFmtId="0" fontId="2" fillId="3" borderId="0" xfId="4" applyFill="1" applyBorder="1" applyAlignment="1">
      <alignment horizontal="center" wrapText="1"/>
    </xf>
    <xf numFmtId="0" fontId="2" fillId="3" borderId="11" xfId="4" applyFill="1" applyBorder="1" applyAlignment="1">
      <alignment horizontal="center" wrapText="1"/>
    </xf>
    <xf numFmtId="0" fontId="2" fillId="3" borderId="12" xfId="4" applyFill="1" applyBorder="1" applyAlignment="1">
      <alignment horizontal="center" wrapText="1"/>
    </xf>
    <xf numFmtId="0" fontId="2" fillId="3" borderId="13" xfId="4" applyFill="1" applyBorder="1" applyAlignment="1">
      <alignment horizontal="center" wrapText="1"/>
    </xf>
    <xf numFmtId="0" fontId="2" fillId="3" borderId="14" xfId="4" applyFill="1" applyBorder="1" applyAlignment="1">
      <alignment horizontal="center" wrapText="1"/>
    </xf>
    <xf numFmtId="0" fontId="2" fillId="3" borderId="7" xfId="4" applyFill="1" applyBorder="1" applyAlignment="1">
      <alignment horizontal="left" wrapText="1"/>
    </xf>
    <xf numFmtId="0" fontId="2" fillId="3" borderId="8" xfId="4" applyFill="1" applyBorder="1" applyAlignment="1">
      <alignment horizontal="left" wrapText="1"/>
    </xf>
    <xf numFmtId="0" fontId="2" fillId="3" borderId="9" xfId="4" applyFill="1" applyBorder="1" applyAlignment="1">
      <alignment horizontal="left" wrapText="1"/>
    </xf>
    <xf numFmtId="0" fontId="2" fillId="3" borderId="10" xfId="4" applyFill="1" applyBorder="1" applyAlignment="1">
      <alignment horizontal="left" wrapText="1"/>
    </xf>
    <xf numFmtId="0" fontId="2" fillId="3" borderId="0" xfId="4" applyFill="1" applyBorder="1" applyAlignment="1">
      <alignment horizontal="left" wrapText="1"/>
    </xf>
    <xf numFmtId="0" fontId="2" fillId="3" borderId="11" xfId="4" applyFill="1" applyBorder="1" applyAlignment="1">
      <alignment horizontal="left" wrapText="1"/>
    </xf>
    <xf numFmtId="0" fontId="2" fillId="3" borderId="12" xfId="4" applyFill="1" applyBorder="1" applyAlignment="1">
      <alignment horizontal="left" wrapText="1"/>
    </xf>
    <xf numFmtId="0" fontId="2" fillId="3" borderId="13" xfId="4" applyFill="1" applyBorder="1" applyAlignment="1">
      <alignment horizontal="left" wrapText="1"/>
    </xf>
    <xf numFmtId="0" fontId="2" fillId="3" borderId="14" xfId="4" applyFill="1" applyBorder="1" applyAlignment="1">
      <alignment horizontal="left" wrapText="1"/>
    </xf>
    <xf numFmtId="0" fontId="2" fillId="3" borderId="0" xfId="4" applyFill="1" applyAlignment="1">
      <alignment horizontal="center"/>
    </xf>
    <xf numFmtId="0" fontId="11" fillId="0" borderId="0" xfId="4" applyFont="1" applyAlignment="1">
      <alignment horizontal="center"/>
    </xf>
    <xf numFmtId="0" fontId="0" fillId="0" borderId="0" xfId="0" applyNumberFormat="1"/>
    <xf numFmtId="14" fontId="1" fillId="0" borderId="0" xfId="0" applyNumberFormat="1" applyFont="1"/>
    <xf numFmtId="15" fontId="1" fillId="0" borderId="0" xfId="0" applyNumberFormat="1" applyFont="1"/>
    <xf numFmtId="0" fontId="7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3" applyNumberFormat="1" applyFont="1" applyFill="1"/>
  </cellXfs>
  <cellStyles count="5">
    <cellStyle name="Comma" xfId="1" builtinId="3"/>
    <cellStyle name="Currency" xfId="2" builtinId="4"/>
    <cellStyle name="Normal" xfId="0" builtinId="0"/>
    <cellStyle name="Normal 2" xfId="4" xr:uid="{C8F52168-8A4D-4B8F-90D2-D4CE408D2429}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'Effect of coupon on D'!$A$33:$A$34</c:f>
          <c:strCache>
            <c:ptCount val="2"/>
            <c:pt idx="0">
              <c:v>Duration vs. Coupon (Maturity = 21, YTM = 15%)</c:v>
            </c:pt>
          </c:strCache>
        </c:strRef>
      </c:tx>
      <c:layout>
        <c:manualLayout>
          <c:xMode val="edge"/>
          <c:yMode val="edge"/>
          <c:x val="0.17129690385923982"/>
          <c:y val="3.8781163434903052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14860863429741"/>
          <c:y val="0.14659785429448299"/>
          <c:w val="0.78240983934988328"/>
          <c:h val="0.68558881514741532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'Effect of coupon on D'!$A$13:$A$24</c:f>
              <c:numCache>
                <c:formatCode>0%</c:formatCode>
                <c:ptCount val="1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0.13</c:v>
                </c:pt>
                <c:pt idx="10">
                  <c:v>0.15</c:v>
                </c:pt>
                <c:pt idx="11">
                  <c:v>0.17</c:v>
                </c:pt>
              </c:numCache>
            </c:numRef>
          </c:xVal>
          <c:yVal>
            <c:numRef>
              <c:f>'Effect of coupon on D'!$B$13:$B$24</c:f>
              <c:numCache>
                <c:formatCode>0.00</c:formatCode>
                <c:ptCount val="12"/>
                <c:pt idx="0">
                  <c:v>21</c:v>
                </c:pt>
                <c:pt idx="1">
                  <c:v>13.120405887067847</c:v>
                </c:pt>
                <c:pt idx="2">
                  <c:v>10.786542812879926</c:v>
                </c:pt>
                <c:pt idx="3">
                  <c:v>9.6677021220158164</c:v>
                </c:pt>
                <c:pt idx="4">
                  <c:v>9.0110319541472155</c:v>
                </c:pt>
                <c:pt idx="5">
                  <c:v>8.5791841881210171</c:v>
                </c:pt>
                <c:pt idx="6">
                  <c:v>8.27357670814032</c:v>
                </c:pt>
                <c:pt idx="7">
                  <c:v>8.0459136261399511</c:v>
                </c:pt>
                <c:pt idx="8">
                  <c:v>7.7293827299126399</c:v>
                </c:pt>
                <c:pt idx="9">
                  <c:v>7.3707363978561142</c:v>
                </c:pt>
                <c:pt idx="10">
                  <c:v>7.2593314737296479</c:v>
                </c:pt>
                <c:pt idx="11">
                  <c:v>7.1729028813112343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8-427A-B0BA-1F5352B40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37104"/>
        <c:axId val="440319808"/>
      </c:scatterChart>
      <c:valAx>
        <c:axId val="442237104"/>
        <c:scaling>
          <c:orientation val="minMax"/>
          <c:max val="0.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Coupon rate</a:t>
                </a:r>
              </a:p>
            </c:rich>
          </c:tx>
          <c:layout>
            <c:manualLayout>
              <c:xMode val="edge"/>
              <c:yMode val="edge"/>
              <c:x val="0.44444596335180325"/>
              <c:y val="0.91966868061159945"/>
            </c:manualLayout>
          </c:layout>
          <c:overlay val="0"/>
        </c:title>
        <c:numFmt formatCode="0%" sourceLinked="1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40319808"/>
        <c:crosses val="autoZero"/>
        <c:crossBetween val="midCat"/>
        <c:majorUnit val="2.0000000000000004E-2"/>
      </c:valAx>
      <c:valAx>
        <c:axId val="440319808"/>
        <c:scaling>
          <c:orientation val="minMax"/>
          <c:min val="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</a:p>
            </c:rich>
          </c:tx>
          <c:layout>
            <c:manualLayout>
              <c:xMode val="edge"/>
              <c:yMode val="edge"/>
              <c:x val="3.4722222222222224E-2"/>
              <c:y val="0.45152427276230361"/>
            </c:manualLayout>
          </c:layout>
          <c:overlay val="0"/>
        </c:title>
        <c:numFmt formatCode="0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4223710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>
      <c:oddHeader>&amp;CUN-15D</c:oddHeader>
    </c:headerFooter>
    <c:pageMargins b="1" l="0.75" r="0.75" t="1" header="0.5" footer="0.5"/>
    <c:pageSetup orientation="landscape" blackAndWhite="1" horizontalDpi="12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'Effect of T on D '!$A$33:$A$34</c:f>
          <c:strCache>
            <c:ptCount val="2"/>
            <c:pt idx="0">
              <c:v>Duration vs. Maturity (Coupon rate = 4%, YTM = 15%)</c:v>
            </c:pt>
          </c:strCache>
        </c:strRef>
      </c:tx>
      <c:layout>
        <c:manualLayout>
          <c:xMode val="edge"/>
          <c:yMode val="edge"/>
          <c:x val="0.17129690385923982"/>
          <c:y val="3.8781163434903052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14860863429741"/>
          <c:y val="0.14659785429448299"/>
          <c:w val="0.78240983934988328"/>
          <c:h val="0.68558881514741532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'Effect of T on D '!$A$13:$A$24</c:f>
              <c:numCache>
                <c:formatCode>#,##0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'Effect of T on D '!$B$13:$B$24</c:f>
              <c:numCache>
                <c:formatCode>0.00</c:formatCode>
                <c:ptCount val="12"/>
                <c:pt idx="0">
                  <c:v>1</c:v>
                </c:pt>
                <c:pt idx="1">
                  <c:v>4.5163044045411684</c:v>
                </c:pt>
                <c:pt idx="2">
                  <c:v>7.4827229715919046</c:v>
                </c:pt>
                <c:pt idx="3">
                  <c:v>8.8148185212053818</c:v>
                </c:pt>
                <c:pt idx="4">
                  <c:v>9.0398232933309774</c:v>
                </c:pt>
                <c:pt idx="5">
                  <c:v>8.7880901193364664</c:v>
                </c:pt>
                <c:pt idx="6">
                  <c:v>8.4460839941924402</c:v>
                </c:pt>
                <c:pt idx="7">
                  <c:v>8.1632621426336183</c:v>
                </c:pt>
                <c:pt idx="8">
                  <c:v>7.9669103208758019</c:v>
                </c:pt>
                <c:pt idx="9">
                  <c:v>7.8420990204912426</c:v>
                </c:pt>
                <c:pt idx="10">
                  <c:v>7.766767232842323</c:v>
                </c:pt>
                <c:pt idx="11">
                  <c:v>7.7227982472021584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93-4107-9E9E-B6F5DAF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37104"/>
        <c:axId val="440319808"/>
      </c:scatterChart>
      <c:valAx>
        <c:axId val="44223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44444596335180325"/>
              <c:y val="0.91966868061159945"/>
            </c:manualLayout>
          </c:layout>
          <c:overlay val="0"/>
        </c:title>
        <c:numFmt formatCode="#,##0" sourceLinked="1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40319808"/>
        <c:crosses val="autoZero"/>
        <c:crossBetween val="midCat"/>
        <c:majorUnit val="5"/>
      </c:valAx>
      <c:valAx>
        <c:axId val="440319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</a:p>
            </c:rich>
          </c:tx>
          <c:layout>
            <c:manualLayout>
              <c:xMode val="edge"/>
              <c:yMode val="edge"/>
              <c:x val="3.4722222222222224E-2"/>
              <c:y val="0.45152427276230361"/>
            </c:manualLayout>
          </c:layout>
          <c:overlay val="0"/>
        </c:title>
        <c:numFmt formatCode="0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4223710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 alignWithMargins="0">
      <c:oddHeader>&amp;CUN-15D</c:oddHeader>
    </c:headerFooter>
    <c:pageMargins b="1" l="0.75" r="0.75" t="1" header="0.5" footer="0.5"/>
    <c:pageSetup orientation="landscape" blackAndWhite="1" horizontalDpi="120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Price</a:t>
            </a:r>
            <a:r>
              <a:rPr lang="en-US" baseline="0"/>
              <a:t> vs. Duration Approximation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'Convexity of bond'!$B$13</c:f>
              <c:strCache>
                <c:ptCount val="1"/>
                <c:pt idx="0">
                  <c:v>Price (direct)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76000"/>
                </a:schemeClr>
              </a:solidFill>
              <a:ln w="9525">
                <a:solidFill>
                  <a:schemeClr val="accent1">
                    <a:shade val="76000"/>
                  </a:schemeClr>
                </a:solidFill>
              </a:ln>
              <a:effectLst/>
            </c:spPr>
          </c:marker>
          <c:xVal>
            <c:numRef>
              <c:f>'Convexity of bond'!$A$15:$A$29</c:f>
              <c:numCache>
                <c:formatCode>0%</c:formatCode>
                <c:ptCount val="15"/>
                <c:pt idx="0">
                  <c:v>9.9999999999995995E-3</c:v>
                </c:pt>
                <c:pt idx="1">
                  <c:v>1.9999999999999799E-2</c:v>
                </c:pt>
                <c:pt idx="2">
                  <c:v>0.03</c:v>
                </c:pt>
                <c:pt idx="3">
                  <c:v>4.0000000000000202E-2</c:v>
                </c:pt>
                <c:pt idx="4">
                  <c:v>5.0000000000000197E-2</c:v>
                </c:pt>
                <c:pt idx="5">
                  <c:v>6.0000000000000199E-2</c:v>
                </c:pt>
                <c:pt idx="6">
                  <c:v>7.0000000000000104E-2</c:v>
                </c:pt>
                <c:pt idx="7">
                  <c:v>8.0000000000000099E-2</c:v>
                </c:pt>
                <c:pt idx="8">
                  <c:v>9.0000000000000094E-2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'Convexity of bond'!$B$15:$B$29</c:f>
              <c:numCache>
                <c:formatCode>#,##0.00</c:formatCode>
                <c:ptCount val="15"/>
                <c:pt idx="0">
                  <c:v>1568.278271842104</c:v>
                </c:pt>
                <c:pt idx="1">
                  <c:v>1449.1292503121135</c:v>
                </c:pt>
                <c:pt idx="2">
                  <c:v>1341.2081134710331</c:v>
                </c:pt>
                <c:pt idx="3">
                  <c:v>1243.3268733806494</c:v>
                </c:pt>
                <c:pt idx="4">
                  <c:v>1154.4346985836949</c:v>
                </c:pt>
                <c:pt idx="5">
                  <c:v>1073.6008705141455</c:v>
                </c:pt>
                <c:pt idx="6">
                  <c:v>999.99999999999932</c:v>
                </c:pt>
                <c:pt idx="7">
                  <c:v>932.89918601058503</c:v>
                </c:pt>
                <c:pt idx="8">
                  <c:v>871.64684597681924</c:v>
                </c:pt>
                <c:pt idx="9">
                  <c:v>815.66298682885952</c:v>
                </c:pt>
                <c:pt idx="10">
                  <c:v>764.43071955435164</c:v>
                </c:pt>
                <c:pt idx="11">
                  <c:v>717.48884857945666</c:v>
                </c:pt>
                <c:pt idx="12">
                  <c:v>674.42539144282716</c:v>
                </c:pt>
                <c:pt idx="13">
                  <c:v>634.87190475944931</c:v>
                </c:pt>
                <c:pt idx="14">
                  <c:v>598.49850993166183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57-4D23-94F5-ACC8FF2FFD6F}"/>
            </c:ext>
          </c:extLst>
        </c:ser>
        <c:ser>
          <c:idx val="1"/>
          <c:order val="1"/>
          <c:tx>
            <c:strRef>
              <c:f>'Convexity of bond'!$C$13</c:f>
              <c:strCache>
                <c:ptCount val="1"/>
                <c:pt idx="0">
                  <c:v>Price (duration approx.)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'Convexity of bond'!$A$15:$A$29</c:f>
              <c:numCache>
                <c:formatCode>0%</c:formatCode>
                <c:ptCount val="15"/>
                <c:pt idx="0">
                  <c:v>9.9999999999995995E-3</c:v>
                </c:pt>
                <c:pt idx="1">
                  <c:v>1.9999999999999799E-2</c:v>
                </c:pt>
                <c:pt idx="2">
                  <c:v>0.03</c:v>
                </c:pt>
                <c:pt idx="3">
                  <c:v>4.0000000000000202E-2</c:v>
                </c:pt>
                <c:pt idx="4">
                  <c:v>5.0000000000000197E-2</c:v>
                </c:pt>
                <c:pt idx="5">
                  <c:v>6.0000000000000199E-2</c:v>
                </c:pt>
                <c:pt idx="6">
                  <c:v>7.0000000000000104E-2</c:v>
                </c:pt>
                <c:pt idx="7">
                  <c:v>8.0000000000000099E-2</c:v>
                </c:pt>
                <c:pt idx="8">
                  <c:v>9.0000000000000094E-2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'Convexity of bond'!$C$15:$C$29</c:f>
              <c:numCache>
                <c:formatCode>#,##0.00</c:formatCode>
                <c:ptCount val="15"/>
                <c:pt idx="0">
                  <c:v>1421.4148924559588</c:v>
                </c:pt>
                <c:pt idx="1">
                  <c:v>1351.1790770466314</c:v>
                </c:pt>
                <c:pt idx="2">
                  <c:v>1280.943261637304</c:v>
                </c:pt>
                <c:pt idx="3">
                  <c:v>1210.7074462279766</c:v>
                </c:pt>
                <c:pt idx="4">
                  <c:v>1140.4716308186507</c:v>
                </c:pt>
                <c:pt idx="5">
                  <c:v>1070.2358154093245</c:v>
                </c:pt>
                <c:pt idx="6">
                  <c:v>999.99999999999932</c:v>
                </c:pt>
                <c:pt idx="7">
                  <c:v>929.76418459067338</c:v>
                </c:pt>
                <c:pt idx="8">
                  <c:v>859.52836918134733</c:v>
                </c:pt>
                <c:pt idx="9">
                  <c:v>789.29255377202196</c:v>
                </c:pt>
                <c:pt idx="10">
                  <c:v>719.05673836269602</c:v>
                </c:pt>
                <c:pt idx="11">
                  <c:v>648.82092295337009</c:v>
                </c:pt>
                <c:pt idx="12">
                  <c:v>578.58510754404404</c:v>
                </c:pt>
                <c:pt idx="13">
                  <c:v>508.34929213471793</c:v>
                </c:pt>
                <c:pt idx="14">
                  <c:v>438.11347672539205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57-4D23-94F5-ACC8FF2F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13392"/>
        <c:axId val="263400880"/>
      </c:scatterChart>
      <c:valAx>
        <c:axId val="232013392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0880"/>
        <c:crosses val="autoZero"/>
        <c:crossBetween val="midCat"/>
      </c:valAx>
      <c:valAx>
        <c:axId val="263400880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013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Duration vs. Duration+Convexity</a:t>
            </a:r>
            <a:r>
              <a:rPr lang="en-US" b="1" baseline="0"/>
              <a:t> Approximation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'Convexity approximation'!$B$29</c:f>
              <c:strCache>
                <c:ptCount val="1"/>
                <c:pt idx="0">
                  <c:v>Price (Direct)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65000"/>
                </a:schemeClr>
              </a:solidFill>
              <a:ln w="9525">
                <a:solidFill>
                  <a:schemeClr val="accent1">
                    <a:shade val="65000"/>
                  </a:schemeClr>
                </a:solidFill>
              </a:ln>
              <a:effectLst/>
            </c:spPr>
          </c:marker>
          <c:xVal>
            <c:numRef>
              <c:f>'Convexity approximation'!$A$31:$A$45</c:f>
              <c:numCache>
                <c:formatCode>0%</c:formatCode>
                <c:ptCount val="15"/>
                <c:pt idx="0">
                  <c:v>9.9999999999995995E-3</c:v>
                </c:pt>
                <c:pt idx="1">
                  <c:v>1.9999999999999799E-2</c:v>
                </c:pt>
                <c:pt idx="2">
                  <c:v>0.03</c:v>
                </c:pt>
                <c:pt idx="3">
                  <c:v>4.0000000000000202E-2</c:v>
                </c:pt>
                <c:pt idx="4">
                  <c:v>5.0000000000000197E-2</c:v>
                </c:pt>
                <c:pt idx="5">
                  <c:v>6.0000000000000199E-2</c:v>
                </c:pt>
                <c:pt idx="6">
                  <c:v>7.0000000000000104E-2</c:v>
                </c:pt>
                <c:pt idx="7">
                  <c:v>8.0000000000000099E-2</c:v>
                </c:pt>
                <c:pt idx="8">
                  <c:v>9.0000000000000094E-2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'Convexity approximation'!$B$31:$B$45</c:f>
              <c:numCache>
                <c:formatCode>#,##0.00</c:formatCode>
                <c:ptCount val="15"/>
                <c:pt idx="0">
                  <c:v>1568.278271842104</c:v>
                </c:pt>
                <c:pt idx="1">
                  <c:v>1449.1292503121135</c:v>
                </c:pt>
                <c:pt idx="2">
                  <c:v>1341.2081134710331</c:v>
                </c:pt>
                <c:pt idx="3">
                  <c:v>1243.3268733806494</c:v>
                </c:pt>
                <c:pt idx="4">
                  <c:v>1154.4346985836949</c:v>
                </c:pt>
                <c:pt idx="5">
                  <c:v>1073.6008705141455</c:v>
                </c:pt>
                <c:pt idx="6">
                  <c:v>999.99999999999932</c:v>
                </c:pt>
                <c:pt idx="7">
                  <c:v>932.89918601058503</c:v>
                </c:pt>
                <c:pt idx="8">
                  <c:v>871.64684597681924</c:v>
                </c:pt>
                <c:pt idx="9">
                  <c:v>815.66298682885952</c:v>
                </c:pt>
                <c:pt idx="10">
                  <c:v>764.43071955435164</c:v>
                </c:pt>
                <c:pt idx="11">
                  <c:v>717.48884857945666</c:v>
                </c:pt>
                <c:pt idx="12">
                  <c:v>674.42539144282716</c:v>
                </c:pt>
                <c:pt idx="13">
                  <c:v>634.87190475944931</c:v>
                </c:pt>
                <c:pt idx="14">
                  <c:v>598.49850993166183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0D-402C-AA6F-8C1ABAE70CF0}"/>
            </c:ext>
          </c:extLst>
        </c:ser>
        <c:ser>
          <c:idx val="1"/>
          <c:order val="1"/>
          <c:tx>
            <c:strRef>
              <c:f>'Convexity approximation'!$C$29</c:f>
              <c:strCache>
                <c:ptCount val="1"/>
                <c:pt idx="0">
                  <c:v>Price (Duration 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'Convexity approximation'!$A$31:$A$45</c:f>
              <c:numCache>
                <c:formatCode>0%</c:formatCode>
                <c:ptCount val="15"/>
                <c:pt idx="0">
                  <c:v>9.9999999999995995E-3</c:v>
                </c:pt>
                <c:pt idx="1">
                  <c:v>1.9999999999999799E-2</c:v>
                </c:pt>
                <c:pt idx="2">
                  <c:v>0.03</c:v>
                </c:pt>
                <c:pt idx="3">
                  <c:v>4.0000000000000202E-2</c:v>
                </c:pt>
                <c:pt idx="4">
                  <c:v>5.0000000000000197E-2</c:v>
                </c:pt>
                <c:pt idx="5">
                  <c:v>6.0000000000000199E-2</c:v>
                </c:pt>
                <c:pt idx="6">
                  <c:v>7.0000000000000104E-2</c:v>
                </c:pt>
                <c:pt idx="7">
                  <c:v>8.0000000000000099E-2</c:v>
                </c:pt>
                <c:pt idx="8">
                  <c:v>9.0000000000000094E-2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'Convexity approximation'!$C$31:$C$45</c:f>
              <c:numCache>
                <c:formatCode>#,##0.00</c:formatCode>
                <c:ptCount val="15"/>
                <c:pt idx="0">
                  <c:v>1421.4148924559588</c:v>
                </c:pt>
                <c:pt idx="1">
                  <c:v>1351.1790770466314</c:v>
                </c:pt>
                <c:pt idx="2">
                  <c:v>1280.943261637304</c:v>
                </c:pt>
                <c:pt idx="3">
                  <c:v>1210.7074462279766</c:v>
                </c:pt>
                <c:pt idx="4">
                  <c:v>1140.4716308186507</c:v>
                </c:pt>
                <c:pt idx="5">
                  <c:v>1070.2358154093245</c:v>
                </c:pt>
                <c:pt idx="6">
                  <c:v>999.99999999999932</c:v>
                </c:pt>
                <c:pt idx="7">
                  <c:v>929.76418459067338</c:v>
                </c:pt>
                <c:pt idx="8">
                  <c:v>859.52836918134733</c:v>
                </c:pt>
                <c:pt idx="9">
                  <c:v>789.29255377202196</c:v>
                </c:pt>
                <c:pt idx="10">
                  <c:v>719.05673836269602</c:v>
                </c:pt>
                <c:pt idx="11">
                  <c:v>648.82092295337009</c:v>
                </c:pt>
                <c:pt idx="12">
                  <c:v>578.58510754404404</c:v>
                </c:pt>
                <c:pt idx="13">
                  <c:v>508.34929213471793</c:v>
                </c:pt>
                <c:pt idx="14">
                  <c:v>438.11347672539205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0D-402C-AA6F-8C1ABAE70CF0}"/>
            </c:ext>
          </c:extLst>
        </c:ser>
        <c:ser>
          <c:idx val="2"/>
          <c:order val="2"/>
          <c:tx>
            <c:strRef>
              <c:f>'Convexity approximation'!$D$29</c:f>
              <c:strCache>
                <c:ptCount val="1"/>
                <c:pt idx="0">
                  <c:v>Price (Duration + convexity adj.)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'Convexity approximation'!$A$31:$A$45</c:f>
              <c:numCache>
                <c:formatCode>0%</c:formatCode>
                <c:ptCount val="15"/>
                <c:pt idx="0">
                  <c:v>9.9999999999995995E-3</c:v>
                </c:pt>
                <c:pt idx="1">
                  <c:v>1.9999999999999799E-2</c:v>
                </c:pt>
                <c:pt idx="2">
                  <c:v>0.03</c:v>
                </c:pt>
                <c:pt idx="3">
                  <c:v>4.0000000000000202E-2</c:v>
                </c:pt>
                <c:pt idx="4">
                  <c:v>5.0000000000000197E-2</c:v>
                </c:pt>
                <c:pt idx="5">
                  <c:v>6.0000000000000199E-2</c:v>
                </c:pt>
                <c:pt idx="6">
                  <c:v>7.0000000000000104E-2</c:v>
                </c:pt>
                <c:pt idx="7">
                  <c:v>8.0000000000000099E-2</c:v>
                </c:pt>
                <c:pt idx="8">
                  <c:v>9.0000000000000094E-2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'Convexity approximation'!$D$31:$D$45</c:f>
              <c:numCache>
                <c:formatCode>#,##0.00</c:formatCode>
                <c:ptCount val="15"/>
                <c:pt idx="0">
                  <c:v>1538.2942192760208</c:v>
                </c:pt>
                <c:pt idx="1">
                  <c:v>1432.3452762272298</c:v>
                </c:pt>
                <c:pt idx="2">
                  <c:v>1332.8896291128865</c:v>
                </c:pt>
                <c:pt idx="3">
                  <c:v>1239.9272779329913</c:v>
                </c:pt>
                <c:pt idx="4">
                  <c:v>1153.4582226875461</c:v>
                </c:pt>
                <c:pt idx="5">
                  <c:v>1073.4824633765484</c:v>
                </c:pt>
                <c:pt idx="6">
                  <c:v>999.99999999999932</c:v>
                </c:pt>
                <c:pt idx="7">
                  <c:v>933.01083255789729</c:v>
                </c:pt>
                <c:pt idx="8">
                  <c:v>872.51496105024307</c:v>
                </c:pt>
                <c:pt idx="9">
                  <c:v>818.51238547703724</c:v>
                </c:pt>
                <c:pt idx="10">
                  <c:v>771.00310583827843</c:v>
                </c:pt>
                <c:pt idx="11">
                  <c:v>729.98712213396766</c:v>
                </c:pt>
                <c:pt idx="12">
                  <c:v>695.46443436410459</c:v>
                </c:pt>
                <c:pt idx="13">
                  <c:v>667.43504252868922</c:v>
                </c:pt>
                <c:pt idx="14">
                  <c:v>645.8989466277219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D-402C-AA6F-8C1ABAE70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86864"/>
        <c:axId val="263447056"/>
      </c:scatterChart>
      <c:valAx>
        <c:axId val="2655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47056"/>
        <c:crosses val="autoZero"/>
        <c:crossBetween val="midCat"/>
      </c:valAx>
      <c:valAx>
        <c:axId val="26344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586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Immunization Properties of the Three Bonds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'Badic innumization'!$B$21</c:f>
              <c:strCache>
                <c:ptCount val="1"/>
                <c:pt idx="0">
                  <c:v>Bond 1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prstDash val="dash"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shade val="65000"/>
                </a:schemeClr>
              </a:solidFill>
              <a:ln w="9525">
                <a:solidFill>
                  <a:schemeClr val="accent1">
                    <a:shade val="65000"/>
                  </a:schemeClr>
                </a:solidFill>
                <a:prstDash val="dash"/>
              </a:ln>
              <a:effectLst/>
            </c:spPr>
          </c:marker>
          <c:xVal>
            <c:numRef>
              <c:f>'Badic innumization'!$A$23:$A$38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'Badic innumization'!$B$23:$B$38</c:f>
              <c:numCache>
                <c:formatCode>_("$"* #,##0_);_("$"* \(#,##0\);_("$"* "-"??_);_(@_)</c:formatCode>
                <c:ptCount val="16"/>
                <c:pt idx="0">
                  <c:v>1591.4345170880301</c:v>
                </c:pt>
                <c:pt idx="1">
                  <c:v>1620.4119501129126</c:v>
                </c:pt>
                <c:pt idx="2">
                  <c:v>1650.9752569293037</c:v>
                </c:pt>
                <c:pt idx="3">
                  <c:v>1683.209319653583</c:v>
                </c:pt>
                <c:pt idx="4">
                  <c:v>1717.2031400149467</c:v>
                </c:pt>
                <c:pt idx="5">
                  <c:v>1753.0500113650237</c:v>
                </c:pt>
                <c:pt idx="6">
                  <c:v>1790.8476965428547</c:v>
                </c:pt>
                <c:pt idx="7">
                  <c:v>1830.6986117463814</c:v>
                </c:pt>
                <c:pt idx="8">
                  <c:v>1872.710016564293</c:v>
                </c:pt>
                <c:pt idx="9">
                  <c:v>1916.9942103246276</c:v>
                </c:pt>
                <c:pt idx="10">
                  <c:v>1963.6687349192655</c:v>
                </c:pt>
                <c:pt idx="11">
                  <c:v>2012.8565842660889</c:v>
                </c:pt>
                <c:pt idx="12">
                  <c:v>2064.6864205733145</c:v>
                </c:pt>
                <c:pt idx="13">
                  <c:v>2119.2927975732341</c:v>
                </c:pt>
                <c:pt idx="14">
                  <c:v>2176.8163908953693</c:v>
                </c:pt>
                <c:pt idx="15">
                  <c:v>2237.4042357517428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0F-431E-B08C-BF6432B9A8B3}"/>
            </c:ext>
          </c:extLst>
        </c:ser>
        <c:ser>
          <c:idx val="1"/>
          <c:order val="1"/>
          <c:tx>
            <c:strRef>
              <c:f>'Badic innumization'!$C$21</c:f>
              <c:strCache>
                <c:ptCount val="1"/>
                <c:pt idx="0">
                  <c:v>Bond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'Badic innumization'!$A$23:$A$38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'Badic innumization'!$C$23:$C$38</c:f>
              <c:numCache>
                <c:formatCode>_("$"* #,##0_);_("$"* \(#,##0\);_("$"* "-"??_);_(@_)</c:formatCode>
                <c:ptCount val="16"/>
                <c:pt idx="0">
                  <c:v>1868.5242704568586</c:v>
                </c:pt>
                <c:pt idx="1">
                  <c:v>1844.4255503905019</c:v>
                </c:pt>
                <c:pt idx="2">
                  <c:v>1824.9133199617265</c:v>
                </c:pt>
                <c:pt idx="3">
                  <c:v>1809.8798061396092</c:v>
                </c:pt>
                <c:pt idx="4">
                  <c:v>1799.2358982251446</c:v>
                </c:pt>
                <c:pt idx="5">
                  <c:v>1792.9101162813893</c:v>
                </c:pt>
                <c:pt idx="6">
                  <c:v>1790.8476965428545</c:v>
                </c:pt>
                <c:pt idx="7">
                  <c:v>1793.0097828086366</c:v>
                </c:pt>
                <c:pt idx="8">
                  <c:v>1799.3727140380593</c:v>
                </c:pt>
                <c:pt idx="9">
                  <c:v>1809.9273994402931</c:v>
                </c:pt>
                <c:pt idx="10">
                  <c:v>1824.6787732985356</c:v>
                </c:pt>
                <c:pt idx="11">
                  <c:v>1843.645322609784</c:v>
                </c:pt>
                <c:pt idx="12">
                  <c:v>1866.8586813666216</c:v>
                </c:pt>
                <c:pt idx="13">
                  <c:v>1894.363285969114</c:v>
                </c:pt>
                <c:pt idx="14">
                  <c:v>1926.2160868430724</c:v>
                </c:pt>
                <c:pt idx="15">
                  <c:v>1962.4863118641917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0F-431E-B08C-BF6432B9A8B3}"/>
            </c:ext>
          </c:extLst>
        </c:ser>
        <c:ser>
          <c:idx val="2"/>
          <c:order val="2"/>
          <c:tx>
            <c:strRef>
              <c:f>'Badic innumization'!$D$21</c:f>
              <c:strCache>
                <c:ptCount val="1"/>
                <c:pt idx="0">
                  <c:v>Bond 3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chemeClr val="accent1">
                  <a:tint val="65000"/>
                </a:schemeClr>
              </a:solidFill>
              <a:ln w="9525">
                <a:solidFill>
                  <a:schemeClr val="accent1">
                    <a:tint val="65000"/>
                  </a:schemeClr>
                </a:solidFill>
                <a:prstDash val="dash"/>
              </a:ln>
              <a:effectLst/>
            </c:spPr>
          </c:marker>
          <c:xVal>
            <c:numRef>
              <c:f>'Badic innumization'!$A$23:$A$38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'Badic innumization'!$D$23:$D$38</c:f>
              <c:numCache>
                <c:formatCode>_("$"* #,##0_);_("$"* \(#,##0\);_("$"* "-"??_);_(@_)</c:formatCode>
                <c:ptCount val="16"/>
                <c:pt idx="0">
                  <c:v>2845.8642010366921</c:v>
                </c:pt>
                <c:pt idx="1">
                  <c:v>2563.9320306744421</c:v>
                </c:pt>
                <c:pt idx="2">
                  <c:v>2335.2569071584053</c:v>
                </c:pt>
                <c:pt idx="3">
                  <c:v>2150.4533714264594</c:v>
                </c:pt>
                <c:pt idx="4">
                  <c:v>2001.9750280932483</c:v>
                </c:pt>
                <c:pt idx="5">
                  <c:v>1883.7421009290899</c:v>
                </c:pt>
                <c:pt idx="6">
                  <c:v>1790.8476965428545</c:v>
                </c:pt>
                <c:pt idx="7">
                  <c:v>1719.3255539075208</c:v>
                </c:pt>
                <c:pt idx="8">
                  <c:v>1665.9659505028185</c:v>
                </c:pt>
                <c:pt idx="9">
                  <c:v>1628.1694219508092</c:v>
                </c:pt>
                <c:pt idx="10">
                  <c:v>1603.8302484969229</c:v>
                </c:pt>
                <c:pt idx="11">
                  <c:v>1591.2434324202354</c:v>
                </c:pt>
                <c:pt idx="12">
                  <c:v>1589.0302593134197</c:v>
                </c:pt>
                <c:pt idx="13">
                  <c:v>1596.078597037465</c:v>
                </c:pt>
                <c:pt idx="14">
                  <c:v>1611.4949103730758</c:v>
                </c:pt>
                <c:pt idx="15">
                  <c:v>1634.5656113176774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F-431E-B08C-BF6432B9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05728"/>
        <c:axId val="684645088"/>
      </c:scatterChart>
      <c:valAx>
        <c:axId val="184230572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45088"/>
        <c:crosses val="autoZero"/>
        <c:crossBetween val="midCat"/>
        <c:majorUnit val="1.0000000000000002E-2"/>
      </c:valAx>
      <c:valAx>
        <c:axId val="684645088"/>
        <c:scaling>
          <c:orientation val="minMax"/>
          <c:min val="1000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30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Performance of Bond 2 vs. Bond Portfolio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5014761779926"/>
          <c:y val="0.15892873590985818"/>
          <c:w val="0.82325662865631877"/>
          <c:h val="0.6436491835148925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'Duration convexity'!$C$25</c:f>
              <c:strCache>
                <c:ptCount val="1"/>
                <c:pt idx="0">
                  <c:v>Bond 2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86000"/>
                </a:schemeClr>
              </a:solidFill>
              <a:ln w="9525">
                <a:solidFill>
                  <a:schemeClr val="accent1">
                    <a:shade val="86000"/>
                  </a:schemeClr>
                </a:solidFill>
              </a:ln>
              <a:effectLst/>
            </c:spPr>
          </c:marker>
          <c:xVal>
            <c:numRef>
              <c:f>'Duration convexity'!$A$26:$A$42</c:f>
              <c:numCache>
                <c:formatCode>0%</c:formatCode>
                <c:ptCount val="17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</c:numCache>
            </c:numRef>
          </c:xVal>
          <c:yVal>
            <c:numRef>
              <c:f>'Duration convexity'!$C$26:$C$42</c:f>
              <c:numCache>
                <c:formatCode>_("$"* #,##0_);_("$"* \(#,##0\);_("$"* "-"??_);_(@_)</c:formatCode>
                <c:ptCount val="17"/>
                <c:pt idx="0" formatCode=";;">
                  <c:v>1792.9101162813893</c:v>
                </c:pt>
                <c:pt idx="1">
                  <c:v>1868.5242704568586</c:v>
                </c:pt>
                <c:pt idx="2">
                  <c:v>1844.4255503905019</c:v>
                </c:pt>
                <c:pt idx="3">
                  <c:v>1824.9133199617265</c:v>
                </c:pt>
                <c:pt idx="4">
                  <c:v>1809.8798061396092</c:v>
                </c:pt>
                <c:pt idx="5">
                  <c:v>1799.2358982251446</c:v>
                </c:pt>
                <c:pt idx="6">
                  <c:v>1792.9101162813893</c:v>
                </c:pt>
                <c:pt idx="7">
                  <c:v>1790.8476965428545</c:v>
                </c:pt>
                <c:pt idx="8">
                  <c:v>1793.0097828086366</c:v>
                </c:pt>
                <c:pt idx="9">
                  <c:v>1799.3727140380593</c:v>
                </c:pt>
                <c:pt idx="10">
                  <c:v>1809.9273994402931</c:v>
                </c:pt>
                <c:pt idx="11">
                  <c:v>1824.6787732985356</c:v>
                </c:pt>
                <c:pt idx="12">
                  <c:v>1843.645322609784</c:v>
                </c:pt>
                <c:pt idx="13">
                  <c:v>1866.8586813666216</c:v>
                </c:pt>
                <c:pt idx="14">
                  <c:v>1894.363285969114</c:v>
                </c:pt>
                <c:pt idx="15">
                  <c:v>1926.2160868430724</c:v>
                </c:pt>
                <c:pt idx="16">
                  <c:v>1962.4863118641917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8D-4905-9AAE-4C35F76AB7DB}"/>
            </c:ext>
          </c:extLst>
        </c:ser>
        <c:ser>
          <c:idx val="3"/>
          <c:order val="1"/>
          <c:tx>
            <c:strRef>
              <c:f>'Duration convexity'!$E$25</c:f>
              <c:strCache>
                <c:ptCount val="1"/>
                <c:pt idx="0">
                  <c:v>Portfolio of Bond 1 &amp; 3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'Duration convexity'!$A$26:$A$42</c:f>
              <c:numCache>
                <c:formatCode>0%</c:formatCode>
                <c:ptCount val="17"/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7.0000000000000007E-2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0.14000000000000001</c:v>
                </c:pt>
                <c:pt idx="16">
                  <c:v>0.15</c:v>
                </c:pt>
              </c:numCache>
            </c:numRef>
          </c:xVal>
          <c:yVal>
            <c:numRef>
              <c:f>'Duration convexity'!$E$26:$E$42</c:f>
              <c:numCache>
                <c:formatCode>_("$"* #,##0_);_("$"* \(#,##0\);_("$"* "-"??_);_(@_)</c:formatCode>
                <c:ptCount val="17"/>
                <c:pt idx="0" formatCode=";;">
                  <c:v>1795.1662609974151</c:v>
                </c:pt>
                <c:pt idx="1">
                  <c:v>1995.6814297488399</c:v>
                </c:pt>
                <c:pt idx="2">
                  <c:v>1924.4665212705943</c:v>
                </c:pt>
                <c:pt idx="3">
                  <c:v>1871.4888082547354</c:v>
                </c:pt>
                <c:pt idx="4">
                  <c:v>1833.7813029262961</c:v>
                </c:pt>
                <c:pt idx="5">
                  <c:v>1808.9724580096206</c:v>
                </c:pt>
                <c:pt idx="6">
                  <c:v>1795.1662609974151</c:v>
                </c:pt>
                <c:pt idx="7">
                  <c:v>1790.8476965428547</c:v>
                </c:pt>
                <c:pt idx="8">
                  <c:v>1794.8080270758774</c:v>
                </c:pt>
                <c:pt idx="9">
                  <c:v>1806.0855963311747</c:v>
                </c:pt>
                <c:pt idx="10">
                  <c:v>1823.9188227648367</c:v>
                </c:pt>
                <c:pt idx="11">
                  <c:v>1847.7087898907935</c:v>
                </c:pt>
                <c:pt idx="12">
                  <c:v>1876.9894111979374</c:v>
                </c:pt>
                <c:pt idx="13">
                  <c:v>1911.403588432303</c:v>
                </c:pt>
                <c:pt idx="14">
                  <c:v>1950.6841239000319</c:v>
                </c:pt>
                <c:pt idx="15">
                  <c:v>1994.6384130571728</c:v>
                </c:pt>
                <c:pt idx="16">
                  <c:v>2043.1361505187297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8D-4905-9AAE-4C35F76A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609552"/>
        <c:axId val="684599744"/>
      </c:scatterChart>
      <c:valAx>
        <c:axId val="687609552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9744"/>
        <c:crosses val="autoZero"/>
        <c:crossBetween val="midCat"/>
        <c:majorUnit val="1.0000000000000002E-2"/>
      </c:valAx>
      <c:valAx>
        <c:axId val="684599744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0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18394</xdr:colOff>
      <xdr:row>12</xdr:row>
      <xdr:rowOff>22596</xdr:rowOff>
    </xdr:from>
    <xdr:to>
      <xdr:col>3</xdr:col>
      <xdr:colOff>1618155</xdr:colOff>
      <xdr:row>26</xdr:row>
      <xdr:rowOff>96345</xdr:rowOff>
    </xdr:to>
    <xdr:graphicFrame macro="">
      <xdr:nvGraphicFramePr>
        <xdr:cNvPr id="6147" name="Chart 2">
          <a:extLst>
            <a:ext uri="{FF2B5EF4-FFF2-40B4-BE49-F238E27FC236}">
              <a16:creationId xmlns:a16="http://schemas.microsoft.com/office/drawing/2014/main" id="{00000000-0008-0000-0300-000003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18394</xdr:colOff>
      <xdr:row>12</xdr:row>
      <xdr:rowOff>22596</xdr:rowOff>
    </xdr:from>
    <xdr:to>
      <xdr:col>3</xdr:col>
      <xdr:colOff>1618155</xdr:colOff>
      <xdr:row>26</xdr:row>
      <xdr:rowOff>96345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8588CB22-AE5F-4BEA-8DCD-56161987E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345108</xdr:colOff>
      <xdr:row>12</xdr:row>
      <xdr:rowOff>59832</xdr:rowOff>
    </xdr:from>
    <xdr:to>
      <xdr:col>2</xdr:col>
      <xdr:colOff>2098260</xdr:colOff>
      <xdr:row>29</xdr:row>
      <xdr:rowOff>23019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753ABB-FF38-453C-9B88-A0A38969A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108" y="2574984"/>
          <a:ext cx="4041913" cy="27792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65087</xdr:colOff>
      <xdr:row>14</xdr:row>
      <xdr:rowOff>46037</xdr:rowOff>
    </xdr:from>
    <xdr:to>
      <xdr:col>10</xdr:col>
      <xdr:colOff>369887</xdr:colOff>
      <xdr:row>30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924A9E-D849-4D5D-9603-DCE0AC803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65087</xdr:colOff>
      <xdr:row>30</xdr:row>
      <xdr:rowOff>39687</xdr:rowOff>
    </xdr:from>
    <xdr:to>
      <xdr:col>11</xdr:col>
      <xdr:colOff>369887</xdr:colOff>
      <xdr:row>46</xdr:row>
      <xdr:rowOff>141287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A27ABE-F967-456E-B800-642CC3DA3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158750</xdr:colOff>
      <xdr:row>8</xdr:row>
      <xdr:rowOff>15874</xdr:rowOff>
    </xdr:from>
    <xdr:to>
      <xdr:col>12</xdr:col>
      <xdr:colOff>19049</xdr:colOff>
      <xdr:row>9</xdr:row>
      <xdr:rowOff>98425</xdr:rowOff>
    </xdr:to>
    <xdr:sp macro="" textlink="">
      <xdr:nvSpPr>
        <xdr:cNvPr id="19" name="Left Brace 18">
          <a:extLst>
            <a:ext uri="{FF2B5EF4-FFF2-40B4-BE49-F238E27FC236}">
              <a16:creationId xmlns:a16="http://schemas.microsoft.com/office/drawing/2014/main" id="{1FA77FB0-3D6F-46BC-A3D4-162382CF6707}"/>
            </a:ext>
          </a:extLst>
        </xdr:cNvPr>
        <xdr:cNvSpPr/>
      </xdr:nvSpPr>
      <xdr:spPr bwMode="auto">
        <a:xfrm rot="16200000">
          <a:off x="6392862" y="474662"/>
          <a:ext cx="257176" cy="2082799"/>
        </a:xfrm>
        <a:prstGeom prst="leftBrace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41275</xdr:colOff>
      <xdr:row>7</xdr:row>
      <xdr:rowOff>63500</xdr:rowOff>
    </xdr:from>
    <xdr:to>
      <xdr:col>13</xdr:col>
      <xdr:colOff>0</xdr:colOff>
      <xdr:row>10</xdr:row>
      <xdr:rowOff>92075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4E6FD25-1501-44CA-AD30-292882B96DDC}"/>
            </a:ext>
          </a:extLst>
        </xdr:cNvPr>
        <xdr:cNvCxnSpPr/>
      </xdr:nvCxnSpPr>
      <xdr:spPr bwMode="auto">
        <a:xfrm flipH="1" flipV="1">
          <a:off x="7585075" y="1270000"/>
          <a:ext cx="180975" cy="533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131761</xdr:colOff>
      <xdr:row>22</xdr:row>
      <xdr:rowOff>17462</xdr:rowOff>
    </xdr:from>
    <xdr:to>
      <xdr:col>7</xdr:col>
      <xdr:colOff>501650</xdr:colOff>
      <xdr:row>40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87373B-34D8-4282-8EC4-E0158079F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134936</xdr:colOff>
      <xdr:row>26</xdr:row>
      <xdr:rowOff>71436</xdr:rowOff>
    </xdr:from>
    <xdr:to>
      <xdr:col>12</xdr:col>
      <xdr:colOff>263524</xdr:colOff>
      <xdr:row>44</xdr:row>
      <xdr:rowOff>63499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529AFD-299D-4AD6-9209-C6AE2B604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39588-6557-4D4F-9E2A-7956C84302E3}">
  <dimension ref="A1:H16"/>
  <sheetViews>
    <sheetView tabSelected="1" workbookViewId="0">
      <selection activeCell="G9" sqref="G9"/>
    </sheetView>
  </sheetViews>
  <sheetFormatPr defaultRowHeight="13" x14ac:dyDescent="0.6"/>
  <cols>
    <col min="1" max="1" width="16.04296875" customWidth="1"/>
    <col min="2" max="7" width="9.1328125" customWidth="1"/>
    <col min="8" max="8" width="21.26953125" bestFit="1" customWidth="1"/>
  </cols>
  <sheetData>
    <row r="1" spans="1:8" ht="15.5" x14ac:dyDescent="0.7">
      <c r="A1" s="129" t="s">
        <v>119</v>
      </c>
      <c r="B1" s="129"/>
      <c r="C1" s="129"/>
      <c r="D1" s="129"/>
      <c r="E1" s="129"/>
      <c r="F1" s="129"/>
      <c r="G1" s="129"/>
      <c r="H1" s="129"/>
    </row>
    <row r="2" spans="1:8" x14ac:dyDescent="0.6">
      <c r="A2" t="s">
        <v>115</v>
      </c>
      <c r="B2">
        <v>100</v>
      </c>
    </row>
    <row r="3" spans="1:8" x14ac:dyDescent="0.6">
      <c r="A3" t="s">
        <v>17</v>
      </c>
      <c r="B3" s="7">
        <v>0.05</v>
      </c>
    </row>
    <row r="4" spans="1:8" x14ac:dyDescent="0.6">
      <c r="A4" t="s">
        <v>116</v>
      </c>
      <c r="B4" s="126">
        <v>2</v>
      </c>
      <c r="C4" t="s">
        <v>117</v>
      </c>
    </row>
    <row r="5" spans="1:8" x14ac:dyDescent="0.6">
      <c r="A5" t="s">
        <v>1</v>
      </c>
      <c r="B5" s="7">
        <v>0.06</v>
      </c>
    </row>
    <row r="6" spans="1:8" x14ac:dyDescent="0.6">
      <c r="A6" s="1"/>
      <c r="B6" s="128">
        <v>43830</v>
      </c>
      <c r="C6" s="128">
        <v>44012</v>
      </c>
      <c r="D6" s="128">
        <v>44196</v>
      </c>
      <c r="E6" s="128">
        <v>44377</v>
      </c>
      <c r="F6" s="128">
        <v>44561</v>
      </c>
      <c r="G6" s="128">
        <v>44742</v>
      </c>
    </row>
    <row r="7" spans="1:8" x14ac:dyDescent="0.6">
      <c r="A7" t="s">
        <v>118</v>
      </c>
      <c r="B7" s="26"/>
      <c r="C7" s="26">
        <f t="shared" ref="C7:G7" si="0">$B$3*$B$2/$B$4</f>
        <v>2.5</v>
      </c>
      <c r="D7" s="26">
        <f t="shared" si="0"/>
        <v>2.5</v>
      </c>
      <c r="E7" s="26">
        <f t="shared" si="0"/>
        <v>2.5</v>
      </c>
      <c r="F7" s="26">
        <f t="shared" si="0"/>
        <v>2.5</v>
      </c>
      <c r="G7" s="26">
        <f>$B$3*$B$2/$B$4+B2</f>
        <v>102.5</v>
      </c>
      <c r="H7" t="str">
        <f ca="1">"&lt;--"&amp;_xlfn.FORMULATEXT(G7)</f>
        <v>&lt;--=$B$3*$B$2/$B$4+B2</v>
      </c>
    </row>
    <row r="9" spans="1:8" x14ac:dyDescent="0.6">
      <c r="A9" s="44" t="s">
        <v>25</v>
      </c>
      <c r="B9" s="39">
        <f>NPV(B5/2,C7:G7)</f>
        <v>97.710146406402714</v>
      </c>
      <c r="C9" t="str">
        <f ca="1">"&lt;--"&amp;_xlfn.FORMULATEXT(B9)</f>
        <v>&lt;--=NPV(B5/2,C7:G7)</v>
      </c>
    </row>
    <row r="10" spans="1:8" x14ac:dyDescent="0.6">
      <c r="A10" s="44" t="s">
        <v>25</v>
      </c>
      <c r="B10" s="39">
        <f>PRICE(B6,G6,B3,B5,B2,B4,3)</f>
        <v>97.710146406402743</v>
      </c>
      <c r="C10" t="str">
        <f ca="1">"&lt;--"&amp;_xlfn.FORMULATEXT(B10)</f>
        <v>&lt;--=PRICE(B6,G6,B3,B5,B2,B4,3)</v>
      </c>
    </row>
    <row r="12" spans="1:8" x14ac:dyDescent="0.6">
      <c r="A12" s="44" t="s">
        <v>1</v>
      </c>
      <c r="B12" s="131">
        <f>YIELD(B6,G6,B3,B9,100,B4,3)</f>
        <v>5.9999999998724643E-2</v>
      </c>
      <c r="C12" t="str">
        <f ca="1">"&lt;--"&amp;_xlfn.FORMULATEXT(B12)</f>
        <v>&lt;--=YIELD(B6,G6,B3,B9,100,B4,3)</v>
      </c>
    </row>
    <row r="13" spans="1:8" x14ac:dyDescent="0.6">
      <c r="B13" s="30"/>
    </row>
    <row r="14" spans="1:8" x14ac:dyDescent="0.6">
      <c r="B14" s="127">
        <v>43830</v>
      </c>
      <c r="C14" s="127">
        <v>44012</v>
      </c>
      <c r="D14" s="127">
        <v>44196</v>
      </c>
      <c r="E14" s="127">
        <v>44377</v>
      </c>
      <c r="F14" s="127">
        <v>44561</v>
      </c>
      <c r="G14" s="127">
        <v>44742</v>
      </c>
    </row>
    <row r="15" spans="1:8" x14ac:dyDescent="0.6">
      <c r="B15" s="26">
        <f>-B10</f>
        <v>-97.710146406402743</v>
      </c>
      <c r="C15" s="26">
        <f>C7</f>
        <v>2.5</v>
      </c>
      <c r="D15" s="26">
        <f t="shared" ref="D15:G15" si="1">D7</f>
        <v>2.5</v>
      </c>
      <c r="E15" s="26">
        <f t="shared" si="1"/>
        <v>2.5</v>
      </c>
      <c r="F15" s="26">
        <f t="shared" si="1"/>
        <v>2.5</v>
      </c>
      <c r="G15" s="26">
        <f t="shared" si="1"/>
        <v>102.5</v>
      </c>
    </row>
    <row r="16" spans="1:8" x14ac:dyDescent="0.6">
      <c r="A16" s="44" t="s">
        <v>1</v>
      </c>
      <c r="B16" s="130">
        <f>IRR(B15:G15)*2</f>
        <v>6.0000000004379661E-2</v>
      </c>
      <c r="C16" t="str">
        <f ca="1">"&lt;--"&amp;_xlfn.FORMULATEXT(B16)</f>
        <v>&lt;--=IRR(B15:G15)*2</v>
      </c>
    </row>
  </sheetData>
  <mergeCells count="1"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25"/>
  <sheetViews>
    <sheetView workbookViewId="0">
      <selection activeCell="K7" sqref="K7"/>
    </sheetView>
  </sheetViews>
  <sheetFormatPr defaultRowHeight="13" x14ac:dyDescent="0.6"/>
  <cols>
    <col min="1" max="1" width="13.31640625" customWidth="1"/>
    <col min="2" max="2" width="7.76953125" customWidth="1"/>
    <col min="3" max="3" width="13.40625" style="9" customWidth="1"/>
    <col min="4" max="4" width="9.1328125" bestFit="1" customWidth="1"/>
    <col min="5" max="5" width="7.76953125" customWidth="1"/>
    <col min="6" max="6" width="13.40625" style="9" customWidth="1"/>
    <col min="7" max="7" width="11.1328125" bestFit="1" customWidth="1"/>
    <col min="13" max="13" width="11" customWidth="1"/>
  </cols>
  <sheetData>
    <row r="1" spans="1:12" ht="18" x14ac:dyDescent="0.8">
      <c r="A1" s="92" t="s">
        <v>0</v>
      </c>
      <c r="B1" s="92"/>
      <c r="C1" s="92"/>
      <c r="D1" s="92"/>
      <c r="E1" s="92"/>
      <c r="F1" s="92"/>
      <c r="G1" s="92"/>
    </row>
    <row r="2" spans="1:12" s="20" customFormat="1" x14ac:dyDescent="0.6">
      <c r="A2" s="20" t="s">
        <v>1</v>
      </c>
      <c r="B2" s="21">
        <v>7.0000000000000007E-2</v>
      </c>
      <c r="C2" s="22"/>
      <c r="F2" s="22"/>
    </row>
    <row r="3" spans="1:12" ht="16" x14ac:dyDescent="0.9">
      <c r="A3" s="2" t="s">
        <v>2</v>
      </c>
      <c r="B3" s="2" t="s">
        <v>3</v>
      </c>
      <c r="C3" s="34" t="s">
        <v>49</v>
      </c>
      <c r="D3" s="2"/>
      <c r="E3" s="2" t="s">
        <v>4</v>
      </c>
      <c r="F3" s="34" t="s">
        <v>50</v>
      </c>
    </row>
    <row r="4" spans="1:12" x14ac:dyDescent="0.6">
      <c r="A4" s="9">
        <v>1</v>
      </c>
      <c r="B4" s="36">
        <v>70</v>
      </c>
      <c r="C4" s="36">
        <f>B4*A4</f>
        <v>70</v>
      </c>
      <c r="D4" t="str">
        <f ca="1">"&lt;--"&amp;_xlfn.FORMULATEXT(C4)</f>
        <v>&lt;--=B4*A4</v>
      </c>
      <c r="E4" s="36">
        <v>130</v>
      </c>
      <c r="F4" s="36">
        <f>E4*A4</f>
        <v>130</v>
      </c>
      <c r="G4" t="str">
        <f ca="1">"&lt;--"&amp;_xlfn.FORMULATEXT(F4)</f>
        <v>&lt;--=E4*A4</v>
      </c>
      <c r="K4" s="15">
        <f>B4/1.07/B15</f>
        <v>6.5420560747663573E-2</v>
      </c>
      <c r="L4" s="15">
        <f>E4/1.07/E15</f>
        <v>8.5474922028487485E-2</v>
      </c>
    </row>
    <row r="5" spans="1:12" x14ac:dyDescent="0.6">
      <c r="A5" s="9">
        <v>2</v>
      </c>
      <c r="B5" s="36">
        <v>70</v>
      </c>
      <c r="C5" s="36">
        <f t="shared" ref="C5:C13" si="0">B5*A5</f>
        <v>140</v>
      </c>
      <c r="E5" s="36">
        <v>130</v>
      </c>
      <c r="F5" s="36">
        <f t="shared" ref="F5:F13" si="1">E5*A5</f>
        <v>260</v>
      </c>
      <c r="K5" s="15">
        <f>B5/1.07^2/B15</f>
        <v>6.1140710979124838E-2</v>
      </c>
      <c r="L5" s="15">
        <f>E5/1.07^2/E15</f>
        <v>7.9883104699521021E-2</v>
      </c>
    </row>
    <row r="6" spans="1:12" x14ac:dyDescent="0.6">
      <c r="A6" s="9">
        <v>3</v>
      </c>
      <c r="B6" s="36">
        <v>70</v>
      </c>
      <c r="C6" s="36">
        <f t="shared" si="0"/>
        <v>210</v>
      </c>
      <c r="E6" s="36">
        <v>130</v>
      </c>
      <c r="F6" s="36">
        <f t="shared" si="1"/>
        <v>390</v>
      </c>
    </row>
    <row r="7" spans="1:12" x14ac:dyDescent="0.6">
      <c r="A7" s="9">
        <v>4</v>
      </c>
      <c r="B7" s="36">
        <v>70</v>
      </c>
      <c r="C7" s="36">
        <f t="shared" si="0"/>
        <v>280</v>
      </c>
      <c r="E7" s="36">
        <v>130</v>
      </c>
      <c r="F7" s="36">
        <f t="shared" si="1"/>
        <v>520</v>
      </c>
    </row>
    <row r="8" spans="1:12" x14ac:dyDescent="0.6">
      <c r="A8" s="9">
        <v>5</v>
      </c>
      <c r="B8" s="36">
        <v>70</v>
      </c>
      <c r="C8" s="36">
        <f t="shared" si="0"/>
        <v>350</v>
      </c>
      <c r="E8" s="36">
        <v>130</v>
      </c>
      <c r="F8" s="36">
        <f t="shared" si="1"/>
        <v>650</v>
      </c>
    </row>
    <row r="9" spans="1:12" x14ac:dyDescent="0.6">
      <c r="A9" s="9">
        <v>6</v>
      </c>
      <c r="B9" s="36">
        <v>70</v>
      </c>
      <c r="C9" s="36">
        <f t="shared" si="0"/>
        <v>420</v>
      </c>
      <c r="E9" s="36">
        <v>130</v>
      </c>
      <c r="F9" s="36">
        <f t="shared" si="1"/>
        <v>780</v>
      </c>
    </row>
    <row r="10" spans="1:12" x14ac:dyDescent="0.6">
      <c r="A10" s="9">
        <v>7</v>
      </c>
      <c r="B10" s="36">
        <v>70</v>
      </c>
      <c r="C10" s="36">
        <f t="shared" si="0"/>
        <v>490</v>
      </c>
      <c r="E10" s="36">
        <v>130</v>
      </c>
      <c r="F10" s="36">
        <f t="shared" si="1"/>
        <v>910</v>
      </c>
    </row>
    <row r="11" spans="1:12" x14ac:dyDescent="0.6">
      <c r="A11" s="9">
        <v>8</v>
      </c>
      <c r="B11" s="36">
        <v>70</v>
      </c>
      <c r="C11" s="36">
        <f t="shared" si="0"/>
        <v>560</v>
      </c>
      <c r="E11" s="36">
        <v>130</v>
      </c>
      <c r="F11" s="36">
        <f t="shared" si="1"/>
        <v>1040</v>
      </c>
    </row>
    <row r="12" spans="1:12" x14ac:dyDescent="0.6">
      <c r="A12" s="9">
        <v>9</v>
      </c>
      <c r="B12" s="36">
        <v>70</v>
      </c>
      <c r="C12" s="36">
        <f t="shared" si="0"/>
        <v>630</v>
      </c>
      <c r="E12" s="36">
        <v>130</v>
      </c>
      <c r="F12" s="36">
        <f t="shared" si="1"/>
        <v>1170</v>
      </c>
    </row>
    <row r="13" spans="1:12" x14ac:dyDescent="0.6">
      <c r="A13" s="9">
        <v>10</v>
      </c>
      <c r="B13" s="36">
        <v>1070</v>
      </c>
      <c r="C13" s="36">
        <f t="shared" si="0"/>
        <v>10700</v>
      </c>
      <c r="D13" t="str">
        <f ca="1">"&lt;--"&amp;_xlfn.FORMULATEXT(C13)</f>
        <v>&lt;--=B13*A13</v>
      </c>
      <c r="E13" s="36">
        <v>1130</v>
      </c>
      <c r="F13" s="36">
        <f t="shared" si="1"/>
        <v>11300</v>
      </c>
      <c r="G13" t="str">
        <f ca="1">"&lt;--"&amp;_xlfn.FORMULATEXT(F13)</f>
        <v>&lt;--=E13*A13</v>
      </c>
    </row>
    <row r="14" spans="1:12" x14ac:dyDescent="0.6">
      <c r="B14" s="25"/>
    </row>
    <row r="15" spans="1:12" x14ac:dyDescent="0.6">
      <c r="A15" t="s">
        <v>6</v>
      </c>
      <c r="B15" s="23">
        <f>NPV(B2,B4:B13)</f>
        <v>999.99999999999955</v>
      </c>
      <c r="C15" t="str">
        <f ca="1">"&lt;--"&amp;_xlfn.FORMULATEXT(B15)</f>
        <v>&lt;--=NPV(B2,B4:B13)</v>
      </c>
      <c r="E15" s="24">
        <f>NPV(B2,E4:E13)</f>
        <v>1421.4148924559556</v>
      </c>
      <c r="F15" t="str">
        <f ca="1">"&lt;--"&amp;_xlfn.FORMULATEXT(E15)</f>
        <v>&lt;--=NPV(B2,E4:E13)</v>
      </c>
    </row>
    <row r="16" spans="1:12" x14ac:dyDescent="0.6">
      <c r="B16" s="23">
        <f>-PV(B2,A13,B4,1000)</f>
        <v>1000</v>
      </c>
      <c r="C16" t="str">
        <f ca="1">"&lt;--"&amp;_xlfn.FORMULATEXT(B16)</f>
        <v>&lt;--=-PV(B2,A13,B4,1000)</v>
      </c>
      <c r="E16" s="24">
        <f>-PV(B2,A13,E4,1000)</f>
        <v>1421.4148924559563</v>
      </c>
      <c r="F16" t="str">
        <f ca="1">"&lt;--"&amp;_xlfn.FORMULATEXT(E16)</f>
        <v>&lt;--=-PV(B2,A13,E4,1000)</v>
      </c>
    </row>
    <row r="17" spans="1:6" x14ac:dyDescent="0.6">
      <c r="A17" t="s">
        <v>7</v>
      </c>
      <c r="B17" s="37">
        <f>NPV(B2,C4:C13)/B15</f>
        <v>7.5152322487978838</v>
      </c>
      <c r="C17" t="str">
        <f ca="1">"&lt;--"&amp;_xlfn.FORMULATEXT(B17)</f>
        <v>&lt;--=NPV(B2,C4:C13)/B15</v>
      </c>
      <c r="E17" s="37">
        <f>NPV(B2,F4:F13)/E15</f>
        <v>6.7535385303085134</v>
      </c>
      <c r="F17" t="str">
        <f ca="1">"&lt;--"&amp;_xlfn.FORMULATEXT(E17)</f>
        <v>&lt;--=NPV(B2,F4:F13)/E15</v>
      </c>
    </row>
    <row r="18" spans="1:6" x14ac:dyDescent="0.6">
      <c r="B18" s="11"/>
      <c r="C18" s="10"/>
      <c r="E18" s="3"/>
      <c r="F18" s="10"/>
    </row>
    <row r="19" spans="1:6" x14ac:dyDescent="0.6">
      <c r="A19" t="s">
        <v>46</v>
      </c>
      <c r="E19" s="4"/>
      <c r="F19" s="10"/>
    </row>
    <row r="20" spans="1:6" x14ac:dyDescent="0.6">
      <c r="A20" t="s">
        <v>32</v>
      </c>
      <c r="B20" s="38">
        <f>DURATION(DATE(2020,12,31),DATE(2030,12,31),7%,B2,1)</f>
        <v>7.5152322487978838</v>
      </c>
      <c r="C20" s="4" t="str">
        <f ca="1">"&lt;--"&amp;_xlfn.FORMULATEXT(B20)</f>
        <v>&lt;--=DURATION(DATE(2020,12,31),DATE(2030,12,31),7%,B2,1)</v>
      </c>
    </row>
    <row r="21" spans="1:6" x14ac:dyDescent="0.6">
      <c r="B21" s="39" cm="1">
        <f t="array" ref="B21">dduration(A13,7%,B2,1)</f>
        <v>7.5152322487978829</v>
      </c>
      <c r="C21" s="4" t="str">
        <f ca="1">"&lt;--"&amp;_xlfn.FORMULATEXT(B21)</f>
        <v>&lt;--=dduration(A13,7%,B2,1)</v>
      </c>
    </row>
    <row r="22" spans="1:6" x14ac:dyDescent="0.6">
      <c r="B22" s="40"/>
      <c r="C22" s="4"/>
    </row>
    <row r="23" spans="1:6" x14ac:dyDescent="0.6">
      <c r="A23" t="s">
        <v>34</v>
      </c>
      <c r="B23" s="38">
        <f>DURATION(DATE(2020,12,31),DATE(2030,12,31),13%,B2,1)</f>
        <v>6.7535385303085134</v>
      </c>
      <c r="C23" s="4" t="str">
        <f ca="1">"&lt;--"&amp;_xlfn.FORMULATEXT(B23)</f>
        <v>&lt;--=DURATION(DATE(2020,12,31),DATE(2030,12,31),13%,B2,1)</v>
      </c>
    </row>
    <row r="24" spans="1:6" x14ac:dyDescent="0.6">
      <c r="B24" s="39">
        <f>dduration(A13,13%,7%,1)</f>
        <v>6.7535385303085134</v>
      </c>
      <c r="C24" s="4" t="str">
        <f ca="1">"&lt;--"&amp;_xlfn.FORMULATEXT(B24)</f>
        <v>&lt;--=@dduration(A13,13%,7%,1)</v>
      </c>
    </row>
    <row r="25" spans="1:6" x14ac:dyDescent="0.6">
      <c r="B25" s="4"/>
    </row>
  </sheetData>
  <mergeCells count="1">
    <mergeCell ref="A1:G1"/>
  </mergeCells>
  <phoneticPr fontId="6" type="noConversion"/>
  <printOptions headings="1" gridLines="1"/>
  <pageMargins left="0.75" right="0.75" top="1" bottom="1" header="0.5" footer="0.5"/>
  <pageSetup scale="86" orientation="landscape" verticalDpi="300" r:id="rId1"/>
  <headerFooter alignWithMargins="0">
    <oddHeader>&amp;CUN-15B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18"/>
  <sheetViews>
    <sheetView workbookViewId="0">
      <selection activeCell="C10" sqref="C10"/>
    </sheetView>
  </sheetViews>
  <sheetFormatPr defaultRowHeight="13" x14ac:dyDescent="0.6"/>
  <cols>
    <col min="1" max="1" width="33.5" bestFit="1" customWidth="1"/>
    <col min="4" max="4" width="56.2265625" bestFit="1" customWidth="1"/>
  </cols>
  <sheetData>
    <row r="1" spans="1:4" ht="36.75" customHeight="1" x14ac:dyDescent="0.6">
      <c r="A1" s="93" t="s">
        <v>56</v>
      </c>
      <c r="B1" s="94"/>
      <c r="C1" s="94"/>
      <c r="D1" s="94"/>
    </row>
    <row r="2" spans="1:4" s="20" customFormat="1" x14ac:dyDescent="0.6">
      <c r="A2" s="20" t="s">
        <v>55</v>
      </c>
      <c r="B2" s="21">
        <v>7.0000000000000007E-2</v>
      </c>
    </row>
    <row r="3" spans="1:4" x14ac:dyDescent="0.6">
      <c r="B3" s="17" t="s">
        <v>32</v>
      </c>
      <c r="C3" s="17" t="s">
        <v>34</v>
      </c>
    </row>
    <row r="4" spans="1:4" x14ac:dyDescent="0.6">
      <c r="A4" t="s">
        <v>23</v>
      </c>
      <c r="B4" s="7">
        <v>7.0000000000000007E-2</v>
      </c>
      <c r="C4" s="7">
        <v>0.13</v>
      </c>
    </row>
    <row r="5" spans="1:4" x14ac:dyDescent="0.6">
      <c r="A5" t="s">
        <v>20</v>
      </c>
      <c r="B5" s="25">
        <v>1000</v>
      </c>
      <c r="C5" s="25">
        <v>1000</v>
      </c>
    </row>
    <row r="6" spans="1:4" x14ac:dyDescent="0.6">
      <c r="A6" t="s">
        <v>33</v>
      </c>
      <c r="B6">
        <v>10</v>
      </c>
      <c r="C6">
        <v>10</v>
      </c>
    </row>
    <row r="7" spans="1:4" x14ac:dyDescent="0.6">
      <c r="A7" t="s">
        <v>6</v>
      </c>
      <c r="B7" s="26">
        <f>-PV($B$2,B6,B4*B5,B5)</f>
        <v>1000</v>
      </c>
      <c r="C7" s="26">
        <f>-PV($B$2,C6,C4*C5,C5)</f>
        <v>1421.4148924559563</v>
      </c>
      <c r="D7" t="str">
        <f ca="1">"&lt;--"&amp;_xlfn.FORMULATEXT(C7)</f>
        <v>&lt;--=-PV($B$2,C6,C4*C5,C5)</v>
      </c>
    </row>
    <row r="8" spans="1:4" x14ac:dyDescent="0.6">
      <c r="A8" t="s">
        <v>7</v>
      </c>
      <c r="B8" s="41">
        <f>DURATION(DATE(2020,12,31),DATE(2030,12,31),B4,$B$2,1)</f>
        <v>7.5152322487978838</v>
      </c>
      <c r="C8" s="41">
        <f>DURATION(DATE(2020,12,31),DATE(2030,12,31),C4,$B$2,1)</f>
        <v>6.7535385303085134</v>
      </c>
      <c r="D8" t="str">
        <f ca="1">"&lt;--"&amp;_xlfn.FORMULATEXT(C8)</f>
        <v>&lt;--=DURATION(DATE(2020,12,31),DATE(2030,12,31),C4,$B$2,1)</v>
      </c>
    </row>
    <row r="9" spans="1:4" x14ac:dyDescent="0.6">
      <c r="A9" t="s">
        <v>51</v>
      </c>
      <c r="B9" s="41">
        <f>B8/(1+$B$2)</f>
        <v>7.023581540932601</v>
      </c>
      <c r="C9" s="41">
        <f>C8/(1+$B$2)</f>
        <v>6.3117182526247788</v>
      </c>
      <c r="D9" t="str">
        <f ca="1">"&lt;--"&amp;_xlfn.FORMULATEXT(C9)</f>
        <v>&lt;--=C8/(1+$B$2)</v>
      </c>
    </row>
    <row r="10" spans="1:4" x14ac:dyDescent="0.6">
      <c r="A10" t="s">
        <v>52</v>
      </c>
      <c r="B10" s="41">
        <f>MDURATION(DATE(2020,12,31),DATE(2030,12,31),B4,$B$2,1)</f>
        <v>7.023581540932601</v>
      </c>
      <c r="C10" s="41">
        <f>MDURATION(DATE(2020,12,31),DATE(2030,12,31),C4,$B$2,1)</f>
        <v>6.3117182526247788</v>
      </c>
      <c r="D10" t="str">
        <f ca="1">"&lt;--"&amp;_xlfn.FORMULATEXT(C10)</f>
        <v>&lt;--=MDURATION(DATE(2020,12,31),DATE(2030,12,31),C4,$B$2,1)</v>
      </c>
    </row>
    <row r="12" spans="1:4" x14ac:dyDescent="0.6">
      <c r="A12" t="s">
        <v>35</v>
      </c>
      <c r="B12" s="15">
        <v>0.08</v>
      </c>
    </row>
    <row r="13" spans="1:4" x14ac:dyDescent="0.6">
      <c r="A13" t="s">
        <v>53</v>
      </c>
      <c r="B13" s="26">
        <f>-PV($B$12,B6,B4*B5,B5)</f>
        <v>932.89918601058559</v>
      </c>
      <c r="C13" s="26">
        <f>-PV($B$12,C6,C4*C5,C5)</f>
        <v>1335.5040699470721</v>
      </c>
      <c r="D13" t="str">
        <f ca="1">"&lt;--"&amp;_xlfn.FORMULATEXT(C13)</f>
        <v>&lt;--=-PV($B$12,C6,C4*C5,C5)</v>
      </c>
    </row>
    <row r="14" spans="1:4" x14ac:dyDescent="0.6">
      <c r="A14" t="s">
        <v>54</v>
      </c>
      <c r="B14" s="15">
        <f>(B12-B2)/(1+B2)</f>
        <v>9.3457943925233586E-3</v>
      </c>
      <c r="C14" s="26" t="str">
        <f ca="1">"&lt;--"&amp;_xlfn.FORMULATEXT(B14)</f>
        <v>&lt;--=(B12-B2)/(1+B2)</v>
      </c>
    </row>
    <row r="15" spans="1:4" ht="15.5" x14ac:dyDescent="0.7">
      <c r="A15" s="16" t="s">
        <v>36</v>
      </c>
    </row>
    <row r="16" spans="1:4" x14ac:dyDescent="0.6">
      <c r="A16" s="27" t="s">
        <v>5</v>
      </c>
      <c r="B16" s="28">
        <f>B13-B7</f>
        <v>-67.100813989414405</v>
      </c>
      <c r="C16" s="28">
        <f>C13-C7</f>
        <v>-85.910822508884166</v>
      </c>
      <c r="D16" s="29" t="str">
        <f ca="1">"&lt;--"&amp;_xlfn.FORMULATEXT(C16)</f>
        <v>&lt;--=C13-C7</v>
      </c>
    </row>
    <row r="17" spans="1:4" ht="26.5" customHeight="1" x14ac:dyDescent="0.6">
      <c r="A17" s="42" t="s">
        <v>57</v>
      </c>
      <c r="B17" s="43">
        <f>-B8*$B$14*B7</f>
        <v>-70.235815409325966</v>
      </c>
      <c r="C17" s="43">
        <f>-C8*$B$14*C7</f>
        <v>-89.715703212669411</v>
      </c>
      <c r="D17" t="str">
        <f ca="1">"&lt;--"&amp;_xlfn.FORMULATEXT(C17)</f>
        <v>&lt;--=-C8*$B$14*C7</v>
      </c>
    </row>
    <row r="18" spans="1:4" x14ac:dyDescent="0.6">
      <c r="A18" s="45" t="s">
        <v>37</v>
      </c>
      <c r="B18" s="43">
        <f>-($B$12-$B$2)*B5*B10</f>
        <v>-70.235815409325966</v>
      </c>
      <c r="C18" s="43">
        <f>-($B$12-$B$2)*C5*C10</f>
        <v>-63.117182526247753</v>
      </c>
      <c r="D18" t="str">
        <f ca="1">getformula(C18)</f>
        <v>&lt;--  =-($B$12-$B$2)*C5*C10</v>
      </c>
    </row>
  </sheetData>
  <mergeCells count="1">
    <mergeCell ref="A1:D1"/>
  </mergeCells>
  <phoneticPr fontId="6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D13"/>
  <sheetViews>
    <sheetView workbookViewId="0">
      <selection activeCell="A2" sqref="A2:B9"/>
    </sheetView>
  </sheetViews>
  <sheetFormatPr defaultRowHeight="13" x14ac:dyDescent="0.6"/>
  <cols>
    <col min="1" max="1" width="30.5" bestFit="1" customWidth="1"/>
    <col min="2" max="3" width="7.6796875" bestFit="1" customWidth="1"/>
    <col min="4" max="4" width="52.76953125" bestFit="1" customWidth="1"/>
  </cols>
  <sheetData>
    <row r="1" spans="1:4" ht="54.75" customHeight="1" x14ac:dyDescent="0.6">
      <c r="A1" s="93" t="s">
        <v>61</v>
      </c>
      <c r="B1" s="93"/>
      <c r="C1" s="93"/>
      <c r="D1" s="93"/>
    </row>
    <row r="2" spans="1:4" x14ac:dyDescent="0.6">
      <c r="B2" s="17" t="s">
        <v>32</v>
      </c>
      <c r="C2" s="17" t="s">
        <v>34</v>
      </c>
    </row>
    <row r="3" spans="1:4" x14ac:dyDescent="0.6">
      <c r="A3" t="s">
        <v>41</v>
      </c>
      <c r="B3">
        <v>10</v>
      </c>
      <c r="C3">
        <v>10</v>
      </c>
    </row>
    <row r="4" spans="1:4" x14ac:dyDescent="0.6">
      <c r="A4" t="s">
        <v>58</v>
      </c>
      <c r="B4" s="7">
        <v>7.0000000000000007E-2</v>
      </c>
      <c r="C4" s="7">
        <v>7.0000000000000007E-2</v>
      </c>
    </row>
    <row r="5" spans="1:4" x14ac:dyDescent="0.6">
      <c r="A5" t="s">
        <v>38</v>
      </c>
      <c r="B5" s="7">
        <v>7.0000000000000007E-2</v>
      </c>
      <c r="C5" s="7">
        <v>0.13</v>
      </c>
    </row>
    <row r="6" spans="1:4" x14ac:dyDescent="0.6">
      <c r="A6" t="s">
        <v>20</v>
      </c>
      <c r="B6" s="25">
        <v>1000</v>
      </c>
      <c r="C6" s="25">
        <v>1000</v>
      </c>
    </row>
    <row r="7" spans="1:4" x14ac:dyDescent="0.6">
      <c r="A7" t="s">
        <v>25</v>
      </c>
      <c r="B7" s="26">
        <f>-PV(B4,B3,B6*B5,B6)</f>
        <v>1000</v>
      </c>
      <c r="C7" s="26">
        <f>-PV(C4,C3,C6*C5,C6)</f>
        <v>1421.4148924559563</v>
      </c>
      <c r="D7" t="str">
        <f ca="1">"&lt;--"&amp;_xlfn.FORMULATEXT(C7)</f>
        <v>&lt;--=-PV(C4,C3,C6*C5,C6)</v>
      </c>
    </row>
    <row r="8" spans="1:4" x14ac:dyDescent="0.6">
      <c r="A8" s="46" t="s">
        <v>59</v>
      </c>
      <c r="B8" s="30">
        <f>B5*B6/B7</f>
        <v>7.0000000000000007E-2</v>
      </c>
      <c r="C8" s="30">
        <f>C5*C6/C7</f>
        <v>9.1458166570481572E-2</v>
      </c>
      <c r="D8" t="str">
        <f ca="1">"&lt;--"&amp;_xlfn.FORMULATEXT(C8)</f>
        <v>&lt;--=C5*C6/C7</v>
      </c>
    </row>
    <row r="9" spans="1:4" x14ac:dyDescent="0.6">
      <c r="A9" t="s">
        <v>60</v>
      </c>
      <c r="B9" s="31">
        <f>-PV(B4,B3,1)</f>
        <v>7.0235815409326028</v>
      </c>
      <c r="C9" s="31">
        <f>-PV(C4,C3,1)</f>
        <v>7.0235815409326028</v>
      </c>
      <c r="D9" t="str">
        <f ca="1">"&lt;--"&amp;_xlfn.FORMULATEXT(C9)</f>
        <v>&lt;--=-PV(C4,C3,1)</v>
      </c>
    </row>
    <row r="11" spans="1:4" x14ac:dyDescent="0.6">
      <c r="A11" s="17" t="s">
        <v>42</v>
      </c>
    </row>
    <row r="12" spans="1:4" x14ac:dyDescent="0.6">
      <c r="A12" s="44" t="s">
        <v>39</v>
      </c>
      <c r="B12" s="47">
        <f>B3*(1-B8/B4)+B8/B4*B9*(1+B4)</f>
        <v>7.5152322487978855</v>
      </c>
      <c r="C12" s="47">
        <f>C3*(1-C8/C4)+C8/C4*C9*(1+C4)</f>
        <v>6.753538530308516</v>
      </c>
      <c r="D12" t="str">
        <f ca="1">"&lt;--"&amp;_xlfn.FORMULATEXT(C12)</f>
        <v>&lt;--=C3*(1-C8/C4)+C8/C4*C9*(1+C4)</v>
      </c>
    </row>
    <row r="13" spans="1:4" x14ac:dyDescent="0.6">
      <c r="A13" t="s">
        <v>40</v>
      </c>
      <c r="B13" s="4">
        <f>DURATION(DATE(2020,12,31),DATE(2030,12,31),B5,B4,1)</f>
        <v>7.5152322487978838</v>
      </c>
      <c r="C13" s="4">
        <f>DURATION(DATE(2020,12,31),DATE(2030,12,31),C5,C4,1)</f>
        <v>6.7535385303085134</v>
      </c>
      <c r="D13" t="str">
        <f ca="1">"&lt;--"&amp;_xlfn.FORMULATEXT(C13)</f>
        <v>&lt;--=DURATION(DATE(2020,12,31),DATE(2030,12,31),C5,C4,1)</v>
      </c>
    </row>
  </sheetData>
  <mergeCells count="1">
    <mergeCell ref="A1:D1"/>
  </mergeCells>
  <phoneticPr fontId="6" type="noConversion"/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34"/>
  <sheetViews>
    <sheetView zoomScale="130" zoomScaleNormal="130" workbookViewId="0">
      <selection sqref="A1:D27"/>
    </sheetView>
  </sheetViews>
  <sheetFormatPr defaultRowHeight="13" x14ac:dyDescent="0.6"/>
  <cols>
    <col min="1" max="1" width="16.453125" customWidth="1"/>
    <col min="2" max="2" width="11.54296875" customWidth="1"/>
    <col min="3" max="3" width="29.1328125" bestFit="1" customWidth="1"/>
    <col min="4" max="4" width="23.7265625" customWidth="1"/>
  </cols>
  <sheetData>
    <row r="1" spans="1:10" s="18" customFormat="1" ht="18" x14ac:dyDescent="0.8">
      <c r="A1" s="92" t="s">
        <v>43</v>
      </c>
      <c r="B1" s="92"/>
      <c r="C1" s="92"/>
      <c r="D1" s="92"/>
    </row>
    <row r="2" spans="1:10" x14ac:dyDescent="0.6">
      <c r="A2" t="s">
        <v>16</v>
      </c>
      <c r="B2" s="5">
        <f>DATE(2020,12,31)</f>
        <v>44196</v>
      </c>
      <c r="C2" t="str">
        <f ca="1">"&lt;--"&amp;_xlfn.FORMULATEXT(B2)</f>
        <v>&lt;--=DATE(2020,12,31)</v>
      </c>
    </row>
    <row r="3" spans="1:10" x14ac:dyDescent="0.6">
      <c r="A3" t="s">
        <v>27</v>
      </c>
      <c r="B3">
        <v>21</v>
      </c>
    </row>
    <row r="4" spans="1:10" x14ac:dyDescent="0.6">
      <c r="A4" t="s">
        <v>19</v>
      </c>
      <c r="B4" s="5">
        <f>DATE(2020+B3,12,31)</f>
        <v>51866</v>
      </c>
      <c r="C4" t="str">
        <f ca="1">"&lt;--"&amp;_xlfn.FORMULATEXT(B4)</f>
        <v>&lt;--=DATE(2020+B3,12,31)</v>
      </c>
    </row>
    <row r="5" spans="1:10" x14ac:dyDescent="0.6">
      <c r="A5" t="s">
        <v>1</v>
      </c>
      <c r="B5" s="7">
        <v>0.15</v>
      </c>
      <c r="C5" t="s">
        <v>29</v>
      </c>
    </row>
    <row r="6" spans="1:10" x14ac:dyDescent="0.6">
      <c r="A6" t="s">
        <v>12</v>
      </c>
      <c r="B6" s="7">
        <v>0.04</v>
      </c>
      <c r="J6" s="8"/>
    </row>
    <row r="7" spans="1:10" x14ac:dyDescent="0.6">
      <c r="A7" t="s">
        <v>20</v>
      </c>
      <c r="B7" s="32">
        <v>1000</v>
      </c>
    </row>
    <row r="8" spans="1:10" x14ac:dyDescent="0.6">
      <c r="A8" t="s">
        <v>7</v>
      </c>
      <c r="B8" s="19">
        <f>DURATION(B2,B4,B6,B5,1)</f>
        <v>9.0110319541472155</v>
      </c>
      <c r="C8" t="str">
        <f ca="1">"&lt;--"&amp;_xlfn.FORMULATEXT(B8)</f>
        <v>&lt;--=DURATION(B2,B4,B6,B5,1)</v>
      </c>
      <c r="J8" s="1"/>
    </row>
    <row r="10" spans="1:10" x14ac:dyDescent="0.6">
      <c r="A10" s="17" t="s">
        <v>28</v>
      </c>
    </row>
    <row r="11" spans="1:10" x14ac:dyDescent="0.6">
      <c r="A11" s="1" t="s">
        <v>62</v>
      </c>
      <c r="B11" s="1" t="s">
        <v>7</v>
      </c>
    </row>
    <row r="12" spans="1:10" x14ac:dyDescent="0.6">
      <c r="B12" s="48">
        <f>B8</f>
        <v>9.0110319541472155</v>
      </c>
      <c r="C12" t="str">
        <f ca="1">"&lt;--"&amp;_xlfn.FORMULATEXT(B12)&amp;" , data table header"</f>
        <v>&lt;--=B8 , data table header</v>
      </c>
    </row>
    <row r="13" spans="1:10" x14ac:dyDescent="0.6">
      <c r="A13" s="7">
        <v>0</v>
      </c>
      <c r="B13" s="48">
        <f t="dataTable" ref="B13:B24" dt2D="0" dtr="0" r1="B6" ca="1"/>
        <v>21</v>
      </c>
    </row>
    <row r="14" spans="1:10" x14ac:dyDescent="0.6">
      <c r="A14" s="7">
        <v>0.01</v>
      </c>
      <c r="B14" s="48">
        <v>13.120405887067847</v>
      </c>
    </row>
    <row r="15" spans="1:10" x14ac:dyDescent="0.6">
      <c r="A15" s="7">
        <v>0.02</v>
      </c>
      <c r="B15" s="48">
        <v>10.786542812879926</v>
      </c>
    </row>
    <row r="16" spans="1:10" x14ac:dyDescent="0.6">
      <c r="A16" s="7">
        <v>0.03</v>
      </c>
      <c r="B16" s="48">
        <v>9.6677021220158164</v>
      </c>
    </row>
    <row r="17" spans="1:2" x14ac:dyDescent="0.6">
      <c r="A17" s="7">
        <v>0.04</v>
      </c>
      <c r="B17" s="48">
        <v>9.0110319541472155</v>
      </c>
    </row>
    <row r="18" spans="1:2" x14ac:dyDescent="0.6">
      <c r="A18" s="7">
        <v>0.05</v>
      </c>
      <c r="B18" s="48">
        <v>8.5791841881210171</v>
      </c>
    </row>
    <row r="19" spans="1:2" x14ac:dyDescent="0.6">
      <c r="A19" s="7">
        <v>0.06</v>
      </c>
      <c r="B19" s="48">
        <v>8.27357670814032</v>
      </c>
    </row>
    <row r="20" spans="1:2" x14ac:dyDescent="0.6">
      <c r="A20" s="7">
        <v>7.0000000000000007E-2</v>
      </c>
      <c r="B20" s="48">
        <v>8.0459136261399511</v>
      </c>
    </row>
    <row r="21" spans="1:2" x14ac:dyDescent="0.6">
      <c r="A21" s="7">
        <v>0.09</v>
      </c>
      <c r="B21" s="48">
        <v>7.7293827299126399</v>
      </c>
    </row>
    <row r="22" spans="1:2" x14ac:dyDescent="0.6">
      <c r="A22" s="7">
        <v>0.13</v>
      </c>
      <c r="B22" s="48">
        <v>7.3707363978561142</v>
      </c>
    </row>
    <row r="23" spans="1:2" x14ac:dyDescent="0.6">
      <c r="A23" s="7">
        <v>0.15</v>
      </c>
      <c r="B23" s="48">
        <v>7.2593314737296479</v>
      </c>
    </row>
    <row r="24" spans="1:2" x14ac:dyDescent="0.6">
      <c r="A24" s="7">
        <v>0.17</v>
      </c>
      <c r="B24" s="48">
        <v>7.1729028813112343</v>
      </c>
    </row>
    <row r="32" spans="1:2" x14ac:dyDescent="0.6">
      <c r="A32" t="s">
        <v>8</v>
      </c>
    </row>
    <row r="33" spans="1:1" x14ac:dyDescent="0.6">
      <c r="A33" t="str">
        <f>"Duration vs. Coupon (Maturity = "&amp;TEXT(B3,"0")&amp;", YTM = "&amp;TEXT(B5,"0%")&amp;")"</f>
        <v>Duration vs. Coupon (Maturity = 21, YTM = 15%)</v>
      </c>
    </row>
    <row r="34" spans="1:1" x14ac:dyDescent="0.6">
      <c r="A34" s="8"/>
    </row>
  </sheetData>
  <mergeCells count="1">
    <mergeCell ref="A1:D1"/>
  </mergeCells>
  <phoneticPr fontId="6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FEC27-0A56-4CE9-88E4-D02E877D64DE}">
  <sheetPr codeName="Sheet11"/>
  <dimension ref="A1:J34"/>
  <sheetViews>
    <sheetView zoomScale="130" zoomScaleNormal="130" workbookViewId="0">
      <selection activeCell="C12" sqref="C12"/>
    </sheetView>
  </sheetViews>
  <sheetFormatPr defaultRowHeight="13" x14ac:dyDescent="0.6"/>
  <cols>
    <col min="1" max="1" width="16.453125" customWidth="1"/>
    <col min="2" max="2" width="11.54296875" customWidth="1"/>
    <col min="3" max="3" width="29.1328125" bestFit="1" customWidth="1"/>
    <col min="4" max="4" width="23.7265625" customWidth="1"/>
  </cols>
  <sheetData>
    <row r="1" spans="1:10" s="18" customFormat="1" ht="18" x14ac:dyDescent="0.8">
      <c r="A1" s="92" t="s">
        <v>44</v>
      </c>
      <c r="B1" s="92"/>
      <c r="C1" s="92"/>
      <c r="D1" s="92"/>
    </row>
    <row r="2" spans="1:10" x14ac:dyDescent="0.6">
      <c r="A2" t="s">
        <v>16</v>
      </c>
      <c r="B2" s="5">
        <f>DATE(2020,12,31)</f>
        <v>44196</v>
      </c>
      <c r="C2" t="str">
        <f ca="1">"&lt;--"&amp;_xlfn.FORMULATEXT(B2)</f>
        <v>&lt;--=DATE(2020,12,31)</v>
      </c>
    </row>
    <row r="3" spans="1:10" x14ac:dyDescent="0.6">
      <c r="A3" t="s">
        <v>27</v>
      </c>
      <c r="B3">
        <v>21</v>
      </c>
    </row>
    <row r="4" spans="1:10" x14ac:dyDescent="0.6">
      <c r="A4" t="s">
        <v>19</v>
      </c>
      <c r="B4" s="5">
        <f>DATE(2020+B3,12,31)</f>
        <v>51866</v>
      </c>
      <c r="C4" t="str">
        <f ca="1">"&lt;--"&amp;_xlfn.FORMULATEXT(B4)</f>
        <v>&lt;--=DATE(2020+B3,12,31)</v>
      </c>
    </row>
    <row r="5" spans="1:10" x14ac:dyDescent="0.6">
      <c r="A5" t="s">
        <v>1</v>
      </c>
      <c r="B5" s="7">
        <v>0.15</v>
      </c>
      <c r="C5" t="s">
        <v>29</v>
      </c>
    </row>
    <row r="6" spans="1:10" x14ac:dyDescent="0.6">
      <c r="A6" t="s">
        <v>12</v>
      </c>
      <c r="B6" s="7">
        <v>0.04</v>
      </c>
      <c r="J6" s="8"/>
    </row>
    <row r="7" spans="1:10" x14ac:dyDescent="0.6">
      <c r="A7" t="s">
        <v>20</v>
      </c>
      <c r="B7" s="32">
        <v>1000</v>
      </c>
    </row>
    <row r="8" spans="1:10" x14ac:dyDescent="0.6">
      <c r="A8" t="s">
        <v>7</v>
      </c>
      <c r="B8" s="19">
        <f>DURATION(B2,B4,B6,B5,1)</f>
        <v>9.0110319541472155</v>
      </c>
      <c r="C8" t="str">
        <f ca="1">"&lt;--"&amp;_xlfn.FORMULATEXT(B8)</f>
        <v>&lt;--=DURATION(B2,B4,B6,B5,1)</v>
      </c>
      <c r="J8" s="1"/>
    </row>
    <row r="10" spans="1:10" x14ac:dyDescent="0.6">
      <c r="A10" s="17" t="s">
        <v>26</v>
      </c>
    </row>
    <row r="11" spans="1:10" x14ac:dyDescent="0.6">
      <c r="A11" s="1" t="s">
        <v>63</v>
      </c>
      <c r="B11" s="1" t="s">
        <v>7</v>
      </c>
    </row>
    <row r="12" spans="1:10" x14ac:dyDescent="0.6">
      <c r="B12" s="48">
        <f>B8</f>
        <v>9.0110319541472155</v>
      </c>
      <c r="C12" t="str">
        <f ca="1">"&lt;--"&amp;_xlfn.FORMULATEXT(B12)&amp;" , data table header"</f>
        <v>&lt;--=B8 , data table header</v>
      </c>
    </row>
    <row r="13" spans="1:10" x14ac:dyDescent="0.6">
      <c r="A13" s="25">
        <v>1</v>
      </c>
      <c r="B13" s="48">
        <f t="dataTable" ref="B13:B24" dt2D="0" dtr="0" r1="B3" ca="1"/>
        <v>1</v>
      </c>
    </row>
    <row r="14" spans="1:10" x14ac:dyDescent="0.6">
      <c r="A14" s="25">
        <v>5</v>
      </c>
      <c r="B14" s="48">
        <v>4.5163044045411684</v>
      </c>
    </row>
    <row r="15" spans="1:10" x14ac:dyDescent="0.6">
      <c r="A15" s="25">
        <v>10</v>
      </c>
      <c r="B15" s="48">
        <v>7.4827229715919046</v>
      </c>
    </row>
    <row r="16" spans="1:10" x14ac:dyDescent="0.6">
      <c r="A16" s="25">
        <v>15</v>
      </c>
      <c r="B16" s="48">
        <v>8.8148185212053818</v>
      </c>
    </row>
    <row r="17" spans="1:2" x14ac:dyDescent="0.6">
      <c r="A17" s="25">
        <v>20</v>
      </c>
      <c r="B17" s="48">
        <v>9.0398232933309774</v>
      </c>
    </row>
    <row r="18" spans="1:2" x14ac:dyDescent="0.6">
      <c r="A18" s="25">
        <v>25</v>
      </c>
      <c r="B18" s="48">
        <v>8.7880901193364664</v>
      </c>
    </row>
    <row r="19" spans="1:2" x14ac:dyDescent="0.6">
      <c r="A19" s="25">
        <v>30</v>
      </c>
      <c r="B19" s="48">
        <v>8.4460839941924402</v>
      </c>
    </row>
    <row r="20" spans="1:2" x14ac:dyDescent="0.6">
      <c r="A20" s="25">
        <v>35</v>
      </c>
      <c r="B20" s="48">
        <v>8.1632621426336183</v>
      </c>
    </row>
    <row r="21" spans="1:2" x14ac:dyDescent="0.6">
      <c r="A21" s="25">
        <v>40</v>
      </c>
      <c r="B21" s="48">
        <v>7.9669103208758019</v>
      </c>
    </row>
    <row r="22" spans="1:2" x14ac:dyDescent="0.6">
      <c r="A22" s="25">
        <v>45</v>
      </c>
      <c r="B22" s="48">
        <v>7.8420990204912426</v>
      </c>
    </row>
    <row r="23" spans="1:2" x14ac:dyDescent="0.6">
      <c r="A23" s="25">
        <v>50</v>
      </c>
      <c r="B23" s="48">
        <v>7.766767232842323</v>
      </c>
    </row>
    <row r="24" spans="1:2" x14ac:dyDescent="0.6">
      <c r="A24" s="25">
        <v>55</v>
      </c>
      <c r="B24" s="48">
        <v>7.7227982472021584</v>
      </c>
    </row>
    <row r="32" spans="1:2" x14ac:dyDescent="0.6">
      <c r="A32" t="s">
        <v>8</v>
      </c>
    </row>
    <row r="33" spans="1:1" x14ac:dyDescent="0.6">
      <c r="A33" t="str">
        <f>"Duration vs. Maturity (Coupon rate = "&amp;TEXT(B6,"0%")&amp;", YTM = "&amp;TEXT(B5,"0%")&amp;")"</f>
        <v>Duration vs. Maturity (Coupon rate = 4%, YTM = 15%)</v>
      </c>
    </row>
    <row r="34" spans="1:1" x14ac:dyDescent="0.6">
      <c r="A34" s="8"/>
    </row>
  </sheetData>
  <mergeCells count="1">
    <mergeCell ref="A1:D1"/>
  </mergeCells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I19"/>
  <sheetViews>
    <sheetView workbookViewId="0">
      <selection activeCell="C14" sqref="C14"/>
    </sheetView>
  </sheetViews>
  <sheetFormatPr defaultRowHeight="13" x14ac:dyDescent="0.6"/>
  <cols>
    <col min="1" max="1" width="22.90625" bestFit="1" customWidth="1"/>
    <col min="2" max="2" width="8.1796875" bestFit="1" customWidth="1"/>
    <col min="3" max="3" width="19.08984375" customWidth="1"/>
    <col min="4" max="4" width="24.5" bestFit="1" customWidth="1"/>
    <col min="5" max="5" width="17.6328125" customWidth="1"/>
  </cols>
  <sheetData>
    <row r="1" spans="1:9" ht="37.5" customHeight="1" x14ac:dyDescent="0.6">
      <c r="A1" s="93" t="s">
        <v>65</v>
      </c>
      <c r="B1" s="93"/>
      <c r="C1" s="93"/>
      <c r="D1" s="93"/>
      <c r="E1" s="93"/>
      <c r="F1" s="12"/>
      <c r="G1" s="12"/>
      <c r="H1" s="12"/>
      <c r="I1" s="12"/>
    </row>
    <row r="2" spans="1:9" x14ac:dyDescent="0.6">
      <c r="A2" t="s">
        <v>9</v>
      </c>
      <c r="B2">
        <v>0.25</v>
      </c>
      <c r="C2" t="s">
        <v>30</v>
      </c>
    </row>
    <row r="3" spans="1:9" x14ac:dyDescent="0.6">
      <c r="A3" t="s">
        <v>10</v>
      </c>
      <c r="B3">
        <v>5</v>
      </c>
      <c r="C3" t="s">
        <v>11</v>
      </c>
    </row>
    <row r="4" spans="1:9" x14ac:dyDescent="0.6">
      <c r="A4" t="s">
        <v>1</v>
      </c>
      <c r="B4" s="7">
        <v>0.06</v>
      </c>
    </row>
    <row r="5" spans="1:9" x14ac:dyDescent="0.6">
      <c r="A5" t="s">
        <v>12</v>
      </c>
      <c r="B5" s="7">
        <v>0.1</v>
      </c>
    </row>
    <row r="6" spans="1:9" x14ac:dyDescent="0.6">
      <c r="A6" t="s">
        <v>13</v>
      </c>
      <c r="B6" s="13">
        <v>1000</v>
      </c>
    </row>
    <row r="7" spans="1:9" x14ac:dyDescent="0.6">
      <c r="A7" t="s">
        <v>6</v>
      </c>
      <c r="B7" s="13">
        <f>NPV(B4,B10:B14)*(1+B4)^(1-B2)</f>
        <v>1220.6919782005548</v>
      </c>
      <c r="C7" t="str">
        <f ca="1">"&lt;--"&amp;_xlfn.FORMULATEXT(B7)</f>
        <v>&lt;--=NPV(B4,B10:B14)*(1+B4)^(1-B2)</v>
      </c>
    </row>
    <row r="9" spans="1:9" ht="16.5" x14ac:dyDescent="0.9">
      <c r="A9" s="33" t="s">
        <v>14</v>
      </c>
      <c r="B9" s="33" t="s">
        <v>15</v>
      </c>
      <c r="C9" s="2" t="s">
        <v>64</v>
      </c>
      <c r="D9" s="9"/>
      <c r="G9" s="9"/>
      <c r="H9" s="9"/>
    </row>
    <row r="10" spans="1:9" x14ac:dyDescent="0.6">
      <c r="A10" s="9">
        <f>B2</f>
        <v>0.25</v>
      </c>
      <c r="B10" s="6">
        <f>$B$5*$B$6</f>
        <v>100</v>
      </c>
      <c r="C10" s="49">
        <f>(B10*A10)/(1+$B$4)^A10</f>
        <v>24.638459042182205</v>
      </c>
      <c r="D10" t="str">
        <f ca="1">"&lt;--"&amp;_xlfn.FORMULATEXT(C10)</f>
        <v>&lt;--=(B10*A10)/(1+$B$4)^A10</v>
      </c>
      <c r="G10" s="9"/>
      <c r="H10" s="6"/>
      <c r="I10" s="4"/>
    </row>
    <row r="11" spans="1:9" x14ac:dyDescent="0.6">
      <c r="A11" s="9">
        <f>A10+1</f>
        <v>1.25</v>
      </c>
      <c r="B11" s="6">
        <f t="shared" ref="B11:B13" si="0">$B$5*$B$6</f>
        <v>100</v>
      </c>
      <c r="C11" s="49">
        <f t="shared" ref="C11:C14" si="1">(B11*A11)/(1+$B$4)^A11</f>
        <v>116.21914642538775</v>
      </c>
      <c r="G11" s="9"/>
      <c r="H11" s="6"/>
      <c r="I11" s="4"/>
    </row>
    <row r="12" spans="1:9" x14ac:dyDescent="0.6">
      <c r="A12" s="9">
        <f>A11+1</f>
        <v>2.25</v>
      </c>
      <c r="B12" s="6">
        <f t="shared" si="0"/>
        <v>100</v>
      </c>
      <c r="C12" s="49">
        <f t="shared" si="1"/>
        <v>197.35326751480937</v>
      </c>
      <c r="G12" s="9"/>
      <c r="H12" s="6"/>
      <c r="I12" s="4"/>
    </row>
    <row r="13" spans="1:9" x14ac:dyDescent="0.6">
      <c r="A13" s="9">
        <f>A12+1</f>
        <v>3.25</v>
      </c>
      <c r="B13" s="6">
        <f t="shared" si="0"/>
        <v>100</v>
      </c>
      <c r="C13" s="49">
        <f t="shared" si="1"/>
        <v>268.93002910823083</v>
      </c>
      <c r="G13" s="9"/>
      <c r="H13" s="6"/>
      <c r="I13" s="4"/>
    </row>
    <row r="14" spans="1:9" x14ac:dyDescent="0.6">
      <c r="A14" s="9">
        <f>A13+1</f>
        <v>4.25</v>
      </c>
      <c r="B14" s="6">
        <f>$B$5*B6+B6</f>
        <v>1100</v>
      </c>
      <c r="C14" s="49">
        <f t="shared" si="1"/>
        <v>3649.485881222</v>
      </c>
      <c r="G14" s="9"/>
      <c r="H14" s="6"/>
      <c r="I14" s="4"/>
    </row>
    <row r="15" spans="1:9" x14ac:dyDescent="0.6">
      <c r="A15" s="9"/>
      <c r="B15" s="6"/>
      <c r="C15" s="49"/>
      <c r="G15" s="9"/>
      <c r="H15" s="6"/>
      <c r="I15" s="4"/>
    </row>
    <row r="16" spans="1:9" s="29" customFormat="1" x14ac:dyDescent="0.6">
      <c r="A16" s="53" t="s">
        <v>68</v>
      </c>
      <c r="I16" s="51"/>
    </row>
    <row r="17" spans="1:3" s="29" customFormat="1" x14ac:dyDescent="0.6">
      <c r="A17" s="44" t="s">
        <v>66</v>
      </c>
      <c r="B17" s="50">
        <f>SUM(C10:C14)/B7</f>
        <v>3.4870605028365835</v>
      </c>
      <c r="C17" s="29" t="str">
        <f ca="1">"&lt;--"&amp;_xlfn.FORMULATEXT(B17)</f>
        <v>&lt;--=SUM(C10:C14)/B7</v>
      </c>
    </row>
    <row r="18" spans="1:3" s="29" customFormat="1" x14ac:dyDescent="0.6">
      <c r="A18" s="44" t="s">
        <v>67</v>
      </c>
      <c r="B18" s="52">
        <f>DURATION(DATE(2020,12,31),DATE(2020+B3,12,31),B5,B4,1)-(1-B2)</f>
        <v>3.4870605028365826</v>
      </c>
      <c r="C18" s="29" t="str">
        <f ca="1">"&lt;--"&amp;_xlfn.FORMULATEXT(B18)</f>
        <v>&lt;--=DURATION(DATE(2020,12,31),DATE(2020+B3,12,31),B5,B4,1)-(1-B2)</v>
      </c>
    </row>
    <row r="19" spans="1:3" s="29" customFormat="1" x14ac:dyDescent="0.6">
      <c r="A19" s="44" t="s">
        <v>45</v>
      </c>
      <c r="B19" s="50">
        <f>dduration(B3,B5,B4,B2)</f>
        <v>3.4870605028365835</v>
      </c>
      <c r="C19" s="29" t="str">
        <f ca="1">"&lt;--"&amp;_xlfn.FORMULATEXT(B19)</f>
        <v>&lt;--=@dduration(B3,B5,B4,B2)</v>
      </c>
    </row>
  </sheetData>
  <mergeCells count="1">
    <mergeCell ref="A1:E1"/>
  </mergeCells>
  <phoneticPr fontId="6" type="noConversion"/>
  <printOptions headings="1" gridLines="1"/>
  <pageMargins left="0.75" right="0.75" top="1" bottom="1" header="0.5" footer="0.5"/>
  <pageSetup orientation="portrait" horizontalDpi="4294967292" verticalDpi="4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16"/>
  <sheetViews>
    <sheetView workbookViewId="0">
      <selection activeCell="C19" sqref="C19"/>
    </sheetView>
  </sheetViews>
  <sheetFormatPr defaultRowHeight="13" x14ac:dyDescent="0.6"/>
  <cols>
    <col min="1" max="1" width="17.5" bestFit="1" customWidth="1"/>
    <col min="2" max="2" width="10.953125" bestFit="1" customWidth="1"/>
    <col min="3" max="3" width="52.90625" customWidth="1"/>
  </cols>
  <sheetData>
    <row r="1" spans="1:3" ht="18" x14ac:dyDescent="0.6">
      <c r="A1" s="93" t="s">
        <v>31</v>
      </c>
      <c r="B1" s="93"/>
      <c r="C1" s="93"/>
    </row>
    <row r="2" spans="1:3" x14ac:dyDescent="0.6">
      <c r="A2" t="s">
        <v>16</v>
      </c>
      <c r="B2" s="55">
        <v>44286</v>
      </c>
    </row>
    <row r="3" spans="1:3" x14ac:dyDescent="0.6">
      <c r="A3" t="s">
        <v>17</v>
      </c>
      <c r="B3">
        <v>89</v>
      </c>
      <c r="C3" t="s">
        <v>18</v>
      </c>
    </row>
    <row r="4" spans="1:3" x14ac:dyDescent="0.6">
      <c r="A4" t="s">
        <v>19</v>
      </c>
      <c r="B4" s="55">
        <v>45658</v>
      </c>
    </row>
    <row r="5" spans="1:3" x14ac:dyDescent="0.6">
      <c r="A5" t="s">
        <v>20</v>
      </c>
      <c r="B5" s="6">
        <v>1000</v>
      </c>
    </row>
    <row r="6" spans="1:3" x14ac:dyDescent="0.6">
      <c r="A6" t="s">
        <v>69</v>
      </c>
      <c r="B6" s="6">
        <v>1123</v>
      </c>
    </row>
    <row r="7" spans="1:3" x14ac:dyDescent="0.6">
      <c r="A7" t="s">
        <v>21</v>
      </c>
      <c r="B7" s="4">
        <f>YEARFRAC(B2,A11,1)</f>
        <v>0.75616438356164384</v>
      </c>
      <c r="C7" t="str">
        <f ca="1">"&lt;--"&amp;_xlfn.FORMULATEXT(B7)</f>
        <v>&lt;--=YEARFRAC(B2,A11,1)</v>
      </c>
    </row>
    <row r="8" spans="1:3" x14ac:dyDescent="0.6">
      <c r="B8" s="2"/>
      <c r="C8" s="2"/>
    </row>
    <row r="9" spans="1:3" x14ac:dyDescent="0.6">
      <c r="A9" s="54" t="s">
        <v>22</v>
      </c>
      <c r="B9" s="2" t="s">
        <v>15</v>
      </c>
      <c r="C9" s="2"/>
    </row>
    <row r="10" spans="1:3" x14ac:dyDescent="0.6">
      <c r="A10" s="55">
        <v>44286</v>
      </c>
      <c r="B10" s="25">
        <f>-B6</f>
        <v>-1123</v>
      </c>
    </row>
    <row r="11" spans="1:3" x14ac:dyDescent="0.6">
      <c r="A11" s="55">
        <v>44562</v>
      </c>
      <c r="B11" s="25">
        <f>$B$3</f>
        <v>89</v>
      </c>
    </row>
    <row r="12" spans="1:3" x14ac:dyDescent="0.6">
      <c r="A12" s="55">
        <v>44927</v>
      </c>
      <c r="B12" s="25">
        <f>$B$3</f>
        <v>89</v>
      </c>
    </row>
    <row r="13" spans="1:3" x14ac:dyDescent="0.6">
      <c r="A13" s="55">
        <v>45292</v>
      </c>
      <c r="B13" s="25">
        <f>$B$3</f>
        <v>89</v>
      </c>
    </row>
    <row r="14" spans="1:3" x14ac:dyDescent="0.6">
      <c r="A14" s="55">
        <v>45658</v>
      </c>
      <c r="B14" s="25">
        <f>$B$3</f>
        <v>89</v>
      </c>
    </row>
    <row r="15" spans="1:3" x14ac:dyDescent="0.6">
      <c r="A15" s="55">
        <v>46023</v>
      </c>
      <c r="B15" s="25">
        <f>$B$3+B5</f>
        <v>1089</v>
      </c>
    </row>
    <row r="16" spans="1:3" x14ac:dyDescent="0.6">
      <c r="A16" s="44" t="s">
        <v>1</v>
      </c>
      <c r="B16" s="56">
        <f>XIRR(B10:B15,A10:A15)</f>
        <v>6.3496634364128127E-2</v>
      </c>
      <c r="C16" t="str">
        <f ca="1">"&lt;--"&amp;_xlfn.FORMULATEXT(B16)</f>
        <v>&lt;--=XIRR(B10:B15,A10:A15)</v>
      </c>
    </row>
  </sheetData>
  <mergeCells count="1">
    <mergeCell ref="A1:C1"/>
  </mergeCells>
  <phoneticPr fontId="6" type="noConversion"/>
  <printOptions headings="1" gridLines="1"/>
  <pageMargins left="0.75" right="0.75" top="1" bottom="1" header="0.5" footer="0.5"/>
  <pageSetup orientation="portrait" horizont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12"/>
  <sheetViews>
    <sheetView topLeftCell="A12" zoomScale="115" zoomScaleNormal="115" workbookViewId="0">
      <selection activeCell="C12" sqref="C12"/>
    </sheetView>
  </sheetViews>
  <sheetFormatPr defaultRowHeight="13" x14ac:dyDescent="0.6"/>
  <cols>
    <col min="1" max="1" width="21.31640625" customWidth="1"/>
    <col min="2" max="2" width="11.453125" customWidth="1"/>
    <col min="3" max="3" width="50.90625" customWidth="1"/>
  </cols>
  <sheetData>
    <row r="1" spans="1:3" ht="18" x14ac:dyDescent="0.6">
      <c r="A1" s="93" t="s">
        <v>70</v>
      </c>
      <c r="B1" s="93"/>
      <c r="C1" s="93"/>
    </row>
    <row r="2" spans="1:3" ht="49.5" customHeight="1" x14ac:dyDescent="0.6">
      <c r="A2" s="95" t="s">
        <v>48</v>
      </c>
      <c r="B2" s="96"/>
      <c r="C2" s="96"/>
    </row>
    <row r="3" spans="1:3" x14ac:dyDescent="0.6">
      <c r="A3" t="s">
        <v>16</v>
      </c>
      <c r="B3" s="55">
        <v>44286</v>
      </c>
    </row>
    <row r="4" spans="1:3" x14ac:dyDescent="0.6">
      <c r="A4" t="s">
        <v>19</v>
      </c>
      <c r="B4" s="55">
        <v>45658</v>
      </c>
    </row>
    <row r="5" spans="1:3" x14ac:dyDescent="0.6">
      <c r="A5" t="s">
        <v>21</v>
      </c>
      <c r="B5" s="4">
        <v>0.75616438356164384</v>
      </c>
      <c r="C5" t="s">
        <v>71</v>
      </c>
    </row>
    <row r="6" spans="1:3" x14ac:dyDescent="0.6">
      <c r="A6" t="s">
        <v>23</v>
      </c>
      <c r="B6" s="15">
        <f>'IRR with uneven payments'!B3/'IRR with uneven payments'!B5</f>
        <v>8.8999999999999996E-2</v>
      </c>
    </row>
    <row r="7" spans="1:3" x14ac:dyDescent="0.6">
      <c r="A7" t="s">
        <v>20</v>
      </c>
      <c r="B7" s="35">
        <v>1000</v>
      </c>
    </row>
    <row r="8" spans="1:3" x14ac:dyDescent="0.6">
      <c r="A8" t="s">
        <v>6</v>
      </c>
      <c r="B8" s="35">
        <v>1123</v>
      </c>
    </row>
    <row r="9" spans="1:3" x14ac:dyDescent="0.6">
      <c r="A9" t="s">
        <v>11</v>
      </c>
      <c r="B9">
        <v>5</v>
      </c>
    </row>
    <row r="10" spans="1:3" x14ac:dyDescent="0.6">
      <c r="A10" t="s">
        <v>24</v>
      </c>
      <c r="B10">
        <v>1.0000000000000001E-5</v>
      </c>
      <c r="C10" s="14" t="s">
        <v>47</v>
      </c>
    </row>
    <row r="11" spans="1:3" x14ac:dyDescent="0.6">
      <c r="C11" s="14"/>
    </row>
    <row r="12" spans="1:3" x14ac:dyDescent="0.6">
      <c r="A12" s="44" t="s">
        <v>1</v>
      </c>
      <c r="B12" s="57">
        <f>unevenYTM(B6,B7,B8,B9,B5,B10)</f>
        <v>6.3531577587127686E-2</v>
      </c>
      <c r="C12" t="str">
        <f ca="1">getformula(B12)</f>
        <v>&lt;--  =@unevenYTM(B6,B7,B8,B9,B5,B10)</v>
      </c>
    </row>
  </sheetData>
  <mergeCells count="2">
    <mergeCell ref="A2:C2"/>
    <mergeCell ref="A1:C1"/>
  </mergeCells>
  <phoneticPr fontId="6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E3ECD-D9A8-44BC-985F-4AD814403BD4}">
  <sheetPr codeName="Sheet14"/>
  <dimension ref="A1:K29"/>
  <sheetViews>
    <sheetView topLeftCell="A10" workbookViewId="0">
      <selection activeCell="A15" sqref="A15:A29"/>
    </sheetView>
  </sheetViews>
  <sheetFormatPr defaultRowHeight="13" x14ac:dyDescent="0.6"/>
  <cols>
    <col min="1" max="1" width="23.26953125" bestFit="1" customWidth="1"/>
    <col min="2" max="2" width="11.7265625" bestFit="1" customWidth="1"/>
  </cols>
  <sheetData>
    <row r="1" spans="1:11" ht="18" x14ac:dyDescent="0.8">
      <c r="A1" s="92" t="s">
        <v>105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6">
      <c r="A2" t="s">
        <v>41</v>
      </c>
      <c r="B2">
        <v>10</v>
      </c>
    </row>
    <row r="3" spans="1:11" x14ac:dyDescent="0.6">
      <c r="A3" t="s">
        <v>38</v>
      </c>
      <c r="B3" s="7">
        <v>7.0000000000000007E-2</v>
      </c>
    </row>
    <row r="4" spans="1:11" x14ac:dyDescent="0.6">
      <c r="A4" t="s">
        <v>20</v>
      </c>
      <c r="B4" s="25">
        <v>1000</v>
      </c>
    </row>
    <row r="5" spans="1:11" x14ac:dyDescent="0.6">
      <c r="A5" t="s">
        <v>58</v>
      </c>
      <c r="B5" s="7">
        <v>7.0000000000000007E-2</v>
      </c>
    </row>
    <row r="6" spans="1:11" x14ac:dyDescent="0.6">
      <c r="A6" t="s">
        <v>25</v>
      </c>
      <c r="B6" s="25">
        <f>-PV(B5,B2,B4*B3,B4)</f>
        <v>1000</v>
      </c>
      <c r="C6" t="str">
        <f ca="1">"&lt;--"&amp;_xlfn.FORMULATEXT(B6)</f>
        <v>&lt;--=-PV(B5,B2,B4*B3,B4)</v>
      </c>
    </row>
    <row r="7" spans="1:11" x14ac:dyDescent="0.6">
      <c r="A7" t="s">
        <v>7</v>
      </c>
      <c r="B7" s="26">
        <f>dduration(B2,B3,B5,1)</f>
        <v>7.5152322487978829</v>
      </c>
      <c r="C7" t="str">
        <f ca="1">"&lt;--"&amp;_xlfn.FORMULATEXT(B7)</f>
        <v>&lt;--=@dduration(B2,B3,B5,1)</v>
      </c>
    </row>
    <row r="9" spans="1:11" x14ac:dyDescent="0.6">
      <c r="A9" t="s">
        <v>87</v>
      </c>
      <c r="B9" s="7">
        <v>0.26</v>
      </c>
    </row>
    <row r="10" spans="1:11" x14ac:dyDescent="0.6">
      <c r="A10" t="s">
        <v>53</v>
      </c>
      <c r="B10" s="26">
        <f>-PV(B9,B2,B4*B3,B6)</f>
        <v>341.68684381850528</v>
      </c>
      <c r="C10" t="str">
        <f t="shared" ref="C10:C11" ca="1" si="0">"&lt;--"&amp;_xlfn.FORMULATEXT(B10)</f>
        <v>&lt;--=-PV(B9,B2,B4*B3,B6)</v>
      </c>
    </row>
    <row r="11" spans="1:11" x14ac:dyDescent="0.6">
      <c r="A11" t="s">
        <v>104</v>
      </c>
      <c r="B11" s="26">
        <f>B6*(1-B7/(1+B5)*(B9-B5))</f>
        <v>-334.48049277719406</v>
      </c>
      <c r="C11" t="str">
        <f t="shared" ca="1" si="0"/>
        <v>&lt;--=B6*(1-B7/(1+B5)*(B9-B5))</v>
      </c>
    </row>
    <row r="13" spans="1:11" x14ac:dyDescent="0.6">
      <c r="A13" s="1" t="s">
        <v>1</v>
      </c>
      <c r="B13" s="1" t="s">
        <v>102</v>
      </c>
      <c r="C13" s="1" t="s">
        <v>103</v>
      </c>
    </row>
    <row r="14" spans="1:11" x14ac:dyDescent="0.6">
      <c r="B14" s="26">
        <f>B10</f>
        <v>341.68684381850528</v>
      </c>
      <c r="C14" s="26">
        <f>B11</f>
        <v>-334.48049277719406</v>
      </c>
      <c r="D14" t="str">
        <f ca="1">"&lt;--"&amp;_xlfn.FORMULATEXT(C14)&amp;" , data table header"</f>
        <v>&lt;--=B11 , data table header</v>
      </c>
    </row>
    <row r="15" spans="1:11" x14ac:dyDescent="0.6">
      <c r="A15" s="7">
        <v>9.9999999999995995E-3</v>
      </c>
      <c r="B15" s="26">
        <f t="dataTable" ref="B15:C29" dt2D="0" dtr="0" r1="B9" ca="1"/>
        <v>1568.278271842104</v>
      </c>
      <c r="C15" s="26">
        <v>1421.4148924559588</v>
      </c>
    </row>
    <row r="16" spans="1:11" x14ac:dyDescent="0.6">
      <c r="A16" s="7">
        <v>1.9999999999999799E-2</v>
      </c>
      <c r="B16" s="26">
        <v>1449.1292503121135</v>
      </c>
      <c r="C16" s="26">
        <v>1351.1790770466314</v>
      </c>
    </row>
    <row r="17" spans="1:3" x14ac:dyDescent="0.6">
      <c r="A17" s="7">
        <v>0.03</v>
      </c>
      <c r="B17" s="26">
        <v>1341.2081134710331</v>
      </c>
      <c r="C17" s="26">
        <v>1280.943261637304</v>
      </c>
    </row>
    <row r="18" spans="1:3" x14ac:dyDescent="0.6">
      <c r="A18" s="7">
        <v>4.0000000000000202E-2</v>
      </c>
      <c r="B18" s="26">
        <v>1243.3268733806494</v>
      </c>
      <c r="C18" s="26">
        <v>1210.7074462279766</v>
      </c>
    </row>
    <row r="19" spans="1:3" x14ac:dyDescent="0.6">
      <c r="A19" s="7">
        <v>5.0000000000000197E-2</v>
      </c>
      <c r="B19" s="26">
        <v>1154.4346985836949</v>
      </c>
      <c r="C19" s="26">
        <v>1140.4716308186507</v>
      </c>
    </row>
    <row r="20" spans="1:3" x14ac:dyDescent="0.6">
      <c r="A20" s="7">
        <v>6.0000000000000199E-2</v>
      </c>
      <c r="B20" s="26">
        <v>1073.6008705141455</v>
      </c>
      <c r="C20" s="26">
        <v>1070.2358154093245</v>
      </c>
    </row>
    <row r="21" spans="1:3" x14ac:dyDescent="0.6">
      <c r="A21" s="7">
        <v>7.0000000000000104E-2</v>
      </c>
      <c r="B21" s="26">
        <v>999.99999999999932</v>
      </c>
      <c r="C21" s="26">
        <v>999.99999999999932</v>
      </c>
    </row>
    <row r="22" spans="1:3" x14ac:dyDescent="0.6">
      <c r="A22" s="7">
        <v>8.0000000000000099E-2</v>
      </c>
      <c r="B22" s="26">
        <v>932.89918601058503</v>
      </c>
      <c r="C22" s="26">
        <v>929.76418459067338</v>
      </c>
    </row>
    <row r="23" spans="1:3" x14ac:dyDescent="0.6">
      <c r="A23" s="7">
        <v>9.0000000000000094E-2</v>
      </c>
      <c r="B23" s="26">
        <v>871.64684597681924</v>
      </c>
      <c r="C23" s="26">
        <v>859.52836918134733</v>
      </c>
    </row>
    <row r="24" spans="1:3" x14ac:dyDescent="0.6">
      <c r="A24" s="7">
        <v>0.1</v>
      </c>
      <c r="B24" s="26">
        <v>815.66298682885952</v>
      </c>
      <c r="C24" s="26">
        <v>789.29255377202196</v>
      </c>
    </row>
    <row r="25" spans="1:3" x14ac:dyDescent="0.6">
      <c r="A25" s="7">
        <v>0.11</v>
      </c>
      <c r="B25" s="26">
        <v>764.43071955435164</v>
      </c>
      <c r="C25" s="26">
        <v>719.05673836269602</v>
      </c>
    </row>
    <row r="26" spans="1:3" x14ac:dyDescent="0.6">
      <c r="A26" s="7">
        <v>0.12</v>
      </c>
      <c r="B26" s="26">
        <v>717.48884857945666</v>
      </c>
      <c r="C26" s="26">
        <v>648.82092295337009</v>
      </c>
    </row>
    <row r="27" spans="1:3" x14ac:dyDescent="0.6">
      <c r="A27" s="7">
        <v>0.13</v>
      </c>
      <c r="B27" s="26">
        <v>674.42539144282716</v>
      </c>
      <c r="C27" s="26">
        <v>578.58510754404404</v>
      </c>
    </row>
    <row r="28" spans="1:3" x14ac:dyDescent="0.6">
      <c r="A28" s="7">
        <v>0.14000000000000001</v>
      </c>
      <c r="B28" s="26">
        <v>634.87190475944931</v>
      </c>
      <c r="C28" s="26">
        <v>508.34929213471793</v>
      </c>
    </row>
    <row r="29" spans="1:3" x14ac:dyDescent="0.6">
      <c r="A29" s="7">
        <v>0.15</v>
      </c>
      <c r="B29" s="26">
        <v>598.49850993166183</v>
      </c>
      <c r="C29" s="26">
        <v>438.11347672539205</v>
      </c>
    </row>
  </sheetData>
  <mergeCells count="1">
    <mergeCell ref="A1:K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D942D-4656-42F8-9279-BA0861F098D3}">
  <sheetPr codeName="Sheet15"/>
  <dimension ref="A1:L45"/>
  <sheetViews>
    <sheetView workbookViewId="0">
      <selection activeCell="B9" sqref="B9"/>
    </sheetView>
  </sheetViews>
  <sheetFormatPr defaultRowHeight="13" x14ac:dyDescent="0.6"/>
  <cols>
    <col min="1" max="1" width="20.31640625" customWidth="1"/>
    <col min="2" max="2" width="11.7265625" bestFit="1" customWidth="1"/>
  </cols>
  <sheetData>
    <row r="1" spans="1:12" ht="18" x14ac:dyDescent="0.8">
      <c r="A1" s="92" t="s">
        <v>106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</row>
    <row r="2" spans="1:12" x14ac:dyDescent="0.6">
      <c r="A2" t="s">
        <v>41</v>
      </c>
      <c r="B2">
        <v>10</v>
      </c>
    </row>
    <row r="3" spans="1:12" x14ac:dyDescent="0.6">
      <c r="A3" t="s">
        <v>38</v>
      </c>
      <c r="B3" s="7">
        <v>7.0000000000000007E-2</v>
      </c>
    </row>
    <row r="4" spans="1:12" x14ac:dyDescent="0.6">
      <c r="A4" t="s">
        <v>20</v>
      </c>
      <c r="B4" s="25">
        <v>1000</v>
      </c>
    </row>
    <row r="5" spans="1:12" x14ac:dyDescent="0.6">
      <c r="A5" t="s">
        <v>58</v>
      </c>
      <c r="B5" s="7">
        <v>7.0000000000000007E-2</v>
      </c>
    </row>
    <row r="6" spans="1:12" x14ac:dyDescent="0.6">
      <c r="A6" t="s">
        <v>25</v>
      </c>
      <c r="B6" s="25">
        <f>-PV(B5,B2,B4*B3,B4)</f>
        <v>1000</v>
      </c>
      <c r="C6" t="str">
        <f ca="1">"&lt;--"&amp;_xlfn.FORMULATEXT(B6)</f>
        <v>&lt;--=-PV(B5,B2,B4*B3,B4)</v>
      </c>
    </row>
    <row r="7" spans="1:12" x14ac:dyDescent="0.6">
      <c r="A7" t="s">
        <v>7</v>
      </c>
      <c r="B7" s="26">
        <f>dduration(B2,B3,B5,1)</f>
        <v>7.5152322487978829</v>
      </c>
      <c r="C7" t="str">
        <f ca="1">"&lt;--"&amp;_xlfn.FORMULATEXT(B7)</f>
        <v>&lt;--=@dduration(B2,B3,B5,1)</v>
      </c>
    </row>
    <row r="8" spans="1:12" x14ac:dyDescent="0.6">
      <c r="A8" t="s">
        <v>107</v>
      </c>
      <c r="B8" s="26">
        <f>NPV(B5,C11:C20)/(B6*(1+B5)^2)</f>
        <v>64.932959344478078</v>
      </c>
      <c r="C8" t="str">
        <f ca="1">"&lt;--"&amp;_xlfn.FORMULATEXT(B8)</f>
        <v>&lt;--=NPV(B5,C11:C20)/(B6*(1+B5)^2)</v>
      </c>
    </row>
    <row r="10" spans="1:12" ht="16.5" x14ac:dyDescent="0.9">
      <c r="A10" s="2" t="s">
        <v>2</v>
      </c>
      <c r="B10" s="2" t="s">
        <v>108</v>
      </c>
      <c r="C10" s="34" t="s">
        <v>109</v>
      </c>
      <c r="D10" s="2"/>
      <c r="E10" s="2"/>
      <c r="F10" s="34"/>
    </row>
    <row r="11" spans="1:12" x14ac:dyDescent="0.6">
      <c r="A11" s="9">
        <v>1</v>
      </c>
      <c r="B11" s="36">
        <f>$B$3*$B$4</f>
        <v>70</v>
      </c>
      <c r="C11" s="36">
        <f>(A11^2+A11)*B11</f>
        <v>140</v>
      </c>
      <c r="D11" t="str">
        <f ca="1">"&lt;--"&amp;_xlfn.FORMULATEXT(C11)</f>
        <v>&lt;--=(A11^2+A11)*B11</v>
      </c>
      <c r="E11" s="36"/>
      <c r="F11" s="36"/>
    </row>
    <row r="12" spans="1:12" x14ac:dyDescent="0.6">
      <c r="A12" s="9">
        <v>2</v>
      </c>
      <c r="B12" s="36">
        <f t="shared" ref="B12:B19" si="0">$B$3*$B$4</f>
        <v>70</v>
      </c>
      <c r="C12" s="36">
        <f t="shared" ref="C12:C20" si="1">(A12^2+A12)*B12</f>
        <v>420</v>
      </c>
      <c r="D12" t="str">
        <f ca="1">"&lt;--"&amp;_xlfn.FORMULATEXT(C12)</f>
        <v>&lt;--=(A12^2+A12)*B12</v>
      </c>
      <c r="E12" s="36"/>
      <c r="F12" s="36"/>
    </row>
    <row r="13" spans="1:12" x14ac:dyDescent="0.6">
      <c r="A13" s="9">
        <v>3</v>
      </c>
      <c r="B13" s="36">
        <f t="shared" si="0"/>
        <v>70</v>
      </c>
      <c r="C13" s="36">
        <f t="shared" si="1"/>
        <v>840</v>
      </c>
      <c r="E13" s="36"/>
      <c r="F13" s="36"/>
    </row>
    <row r="14" spans="1:12" x14ac:dyDescent="0.6">
      <c r="A14" s="9">
        <v>4</v>
      </c>
      <c r="B14" s="36">
        <f t="shared" si="0"/>
        <v>70</v>
      </c>
      <c r="C14" s="36">
        <f t="shared" si="1"/>
        <v>1400</v>
      </c>
      <c r="E14" s="36"/>
      <c r="F14" s="36"/>
    </row>
    <row r="15" spans="1:12" x14ac:dyDescent="0.6">
      <c r="A15" s="9">
        <v>5</v>
      </c>
      <c r="B15" s="36">
        <f t="shared" si="0"/>
        <v>70</v>
      </c>
      <c r="C15" s="36">
        <f t="shared" si="1"/>
        <v>2100</v>
      </c>
      <c r="E15" s="36"/>
      <c r="F15" s="36"/>
    </row>
    <row r="16" spans="1:12" x14ac:dyDescent="0.6">
      <c r="A16" s="9">
        <v>6</v>
      </c>
      <c r="B16" s="36">
        <f t="shared" si="0"/>
        <v>70</v>
      </c>
      <c r="C16" s="36">
        <f t="shared" si="1"/>
        <v>2940</v>
      </c>
      <c r="E16" s="36"/>
      <c r="F16" s="36"/>
    </row>
    <row r="17" spans="1:6" x14ac:dyDescent="0.6">
      <c r="A17" s="9">
        <v>7</v>
      </c>
      <c r="B17" s="36">
        <f t="shared" si="0"/>
        <v>70</v>
      </c>
      <c r="C17" s="36">
        <f t="shared" si="1"/>
        <v>3920</v>
      </c>
      <c r="E17" s="36"/>
      <c r="F17" s="36"/>
    </row>
    <row r="18" spans="1:6" x14ac:dyDescent="0.6">
      <c r="A18" s="9">
        <v>8</v>
      </c>
      <c r="B18" s="36">
        <f t="shared" si="0"/>
        <v>70</v>
      </c>
      <c r="C18" s="36">
        <f t="shared" si="1"/>
        <v>5040</v>
      </c>
      <c r="E18" s="36"/>
      <c r="F18" s="36"/>
    </row>
    <row r="19" spans="1:6" x14ac:dyDescent="0.6">
      <c r="A19" s="9">
        <v>9</v>
      </c>
      <c r="B19" s="36">
        <f t="shared" si="0"/>
        <v>70</v>
      </c>
      <c r="C19" s="36">
        <f t="shared" si="1"/>
        <v>6300</v>
      </c>
      <c r="E19" s="36"/>
      <c r="F19" s="36"/>
    </row>
    <row r="20" spans="1:6" x14ac:dyDescent="0.6">
      <c r="A20" s="9">
        <v>10</v>
      </c>
      <c r="B20" s="36">
        <f>$B$3*$B$4+B4</f>
        <v>1070</v>
      </c>
      <c r="C20" s="36">
        <f t="shared" si="1"/>
        <v>117700</v>
      </c>
      <c r="E20" s="36"/>
      <c r="F20" s="36"/>
    </row>
    <row r="22" spans="1:6" x14ac:dyDescent="0.6">
      <c r="A22" t="s">
        <v>87</v>
      </c>
      <c r="B22" s="7">
        <v>0.05</v>
      </c>
    </row>
    <row r="23" spans="1:6" x14ac:dyDescent="0.6">
      <c r="A23" s="1" t="s">
        <v>6</v>
      </c>
      <c r="B23" s="7"/>
    </row>
    <row r="24" spans="1:6" x14ac:dyDescent="0.6">
      <c r="A24" s="44" t="s">
        <v>66</v>
      </c>
      <c r="B24" s="39">
        <f>-PV(B22,B2,B3*B4,B4)</f>
        <v>1154.4346985836962</v>
      </c>
      <c r="C24" t="str">
        <f ca="1">"&lt;--"&amp;_xlfn.FORMULATEXT(B24)</f>
        <v>&lt;--=-PV(B22,B2,B3*B4,B4)</v>
      </c>
    </row>
    <row r="25" spans="1:6" x14ac:dyDescent="0.6">
      <c r="A25" t="s">
        <v>110</v>
      </c>
      <c r="B25" s="26">
        <f>B6*(1-B7/(1+B5)*(B22-B3))</f>
        <v>1140.4716308186521</v>
      </c>
      <c r="C25" t="str">
        <f ca="1">"&lt;--"&amp;_xlfn.FORMULATEXT(B25)</f>
        <v>&lt;--=B6*(1-B7/(1+B5)*(B22-B3))</v>
      </c>
    </row>
    <row r="26" spans="1:6" x14ac:dyDescent="0.6">
      <c r="A26" s="44" t="s">
        <v>111</v>
      </c>
      <c r="B26" s="39">
        <f>B6*(1-B7/(1+B5)*(B22-B3)+0.5*B8*(B22-B5)^2)</f>
        <v>1153.4582226875475</v>
      </c>
      <c r="C26" t="str">
        <f ca="1">"&lt;--"&amp;_xlfn.FORMULATEXT(B26)</f>
        <v>&lt;--=B6*(1-B7/(1+B5)*(B22-B3)+0.5*B8*(B22-B5)^2)</v>
      </c>
    </row>
    <row r="29" spans="1:6" x14ac:dyDescent="0.6">
      <c r="A29" s="1" t="s">
        <v>1</v>
      </c>
      <c r="B29" s="1" t="s">
        <v>112</v>
      </c>
      <c r="C29" s="1" t="s">
        <v>113</v>
      </c>
      <c r="D29" s="1" t="s">
        <v>114</v>
      </c>
    </row>
    <row r="30" spans="1:6" x14ac:dyDescent="0.6">
      <c r="B30" s="26">
        <f>B24</f>
        <v>1154.4346985836962</v>
      </c>
      <c r="C30" s="26">
        <f>B25</f>
        <v>1140.4716308186521</v>
      </c>
      <c r="D30" s="26">
        <f>B26</f>
        <v>1153.4582226875475</v>
      </c>
      <c r="E30" t="str">
        <f ca="1">"&lt;--"&amp;_xlfn.FORMULATEXT(D30)&amp;" , data table header"</f>
        <v>&lt;--=B26 , data table header</v>
      </c>
    </row>
    <row r="31" spans="1:6" x14ac:dyDescent="0.6">
      <c r="A31" s="7">
        <v>9.9999999999995995E-3</v>
      </c>
      <c r="B31" s="26">
        <f t="dataTable" ref="B31:D45" dt2D="0" dtr="0" r1="B22" ca="1"/>
        <v>1568.278271842104</v>
      </c>
      <c r="C31" s="26">
        <v>1421.4148924559588</v>
      </c>
      <c r="D31" s="26">
        <v>1538.2942192760208</v>
      </c>
    </row>
    <row r="32" spans="1:6" x14ac:dyDescent="0.6">
      <c r="A32" s="7">
        <v>1.9999999999999799E-2</v>
      </c>
      <c r="B32" s="26">
        <v>1449.1292503121135</v>
      </c>
      <c r="C32" s="26">
        <v>1351.1790770466314</v>
      </c>
      <c r="D32" s="26">
        <v>1432.3452762272298</v>
      </c>
    </row>
    <row r="33" spans="1:4" x14ac:dyDescent="0.6">
      <c r="A33" s="7">
        <v>0.03</v>
      </c>
      <c r="B33" s="26">
        <v>1341.2081134710331</v>
      </c>
      <c r="C33" s="26">
        <v>1280.943261637304</v>
      </c>
      <c r="D33" s="26">
        <v>1332.8896291128865</v>
      </c>
    </row>
    <row r="34" spans="1:4" x14ac:dyDescent="0.6">
      <c r="A34" s="7">
        <v>4.0000000000000202E-2</v>
      </c>
      <c r="B34" s="26">
        <v>1243.3268733806494</v>
      </c>
      <c r="C34" s="26">
        <v>1210.7074462279766</v>
      </c>
      <c r="D34" s="26">
        <v>1239.9272779329913</v>
      </c>
    </row>
    <row r="35" spans="1:4" x14ac:dyDescent="0.6">
      <c r="A35" s="7">
        <v>5.0000000000000197E-2</v>
      </c>
      <c r="B35" s="26">
        <v>1154.4346985836949</v>
      </c>
      <c r="C35" s="26">
        <v>1140.4716308186507</v>
      </c>
      <c r="D35" s="26">
        <v>1153.4582226875461</v>
      </c>
    </row>
    <row r="36" spans="1:4" x14ac:dyDescent="0.6">
      <c r="A36" s="7">
        <v>6.0000000000000199E-2</v>
      </c>
      <c r="B36" s="26">
        <v>1073.6008705141455</v>
      </c>
      <c r="C36" s="26">
        <v>1070.2358154093245</v>
      </c>
      <c r="D36" s="26">
        <v>1073.4824633765484</v>
      </c>
    </row>
    <row r="37" spans="1:4" x14ac:dyDescent="0.6">
      <c r="A37" s="7">
        <v>7.0000000000000104E-2</v>
      </c>
      <c r="B37" s="26">
        <v>999.99999999999932</v>
      </c>
      <c r="C37" s="26">
        <v>999.99999999999932</v>
      </c>
      <c r="D37" s="26">
        <v>999.99999999999932</v>
      </c>
    </row>
    <row r="38" spans="1:4" x14ac:dyDescent="0.6">
      <c r="A38" s="7">
        <v>8.0000000000000099E-2</v>
      </c>
      <c r="B38" s="26">
        <v>932.89918601058503</v>
      </c>
      <c r="C38" s="26">
        <v>929.76418459067338</v>
      </c>
      <c r="D38" s="26">
        <v>933.01083255789729</v>
      </c>
    </row>
    <row r="39" spans="1:4" x14ac:dyDescent="0.6">
      <c r="A39" s="7">
        <v>9.0000000000000094E-2</v>
      </c>
      <c r="B39" s="26">
        <v>871.64684597681924</v>
      </c>
      <c r="C39" s="26">
        <v>859.52836918134733</v>
      </c>
      <c r="D39" s="26">
        <v>872.51496105024307</v>
      </c>
    </row>
    <row r="40" spans="1:4" x14ac:dyDescent="0.6">
      <c r="A40" s="7">
        <v>0.1</v>
      </c>
      <c r="B40" s="26">
        <v>815.66298682885952</v>
      </c>
      <c r="C40" s="26">
        <v>789.29255377202196</v>
      </c>
      <c r="D40" s="26">
        <v>818.51238547703724</v>
      </c>
    </row>
    <row r="41" spans="1:4" x14ac:dyDescent="0.6">
      <c r="A41" s="7">
        <v>0.11</v>
      </c>
      <c r="B41" s="26">
        <v>764.43071955435164</v>
      </c>
      <c r="C41" s="26">
        <v>719.05673836269602</v>
      </c>
      <c r="D41" s="26">
        <v>771.00310583827843</v>
      </c>
    </row>
    <row r="42" spans="1:4" x14ac:dyDescent="0.6">
      <c r="A42" s="7">
        <v>0.12</v>
      </c>
      <c r="B42" s="26">
        <v>717.48884857945666</v>
      </c>
      <c r="C42" s="26">
        <v>648.82092295337009</v>
      </c>
      <c r="D42" s="26">
        <v>729.98712213396766</v>
      </c>
    </row>
    <row r="43" spans="1:4" x14ac:dyDescent="0.6">
      <c r="A43" s="7">
        <v>0.13</v>
      </c>
      <c r="B43" s="26">
        <v>674.42539144282716</v>
      </c>
      <c r="C43" s="26">
        <v>578.58510754404404</v>
      </c>
      <c r="D43" s="26">
        <v>695.46443436410459</v>
      </c>
    </row>
    <row r="44" spans="1:4" x14ac:dyDescent="0.6">
      <c r="A44" s="7">
        <v>0.14000000000000001</v>
      </c>
      <c r="B44" s="26">
        <v>634.87190475944931</v>
      </c>
      <c r="C44" s="26">
        <v>508.34929213471793</v>
      </c>
      <c r="D44" s="26">
        <v>667.43504252868922</v>
      </c>
    </row>
    <row r="45" spans="1:4" x14ac:dyDescent="0.6">
      <c r="A45" s="7">
        <v>0.15</v>
      </c>
      <c r="B45" s="26">
        <v>598.49850993166183</v>
      </c>
      <c r="C45" s="26">
        <v>438.11347672539205</v>
      </c>
      <c r="D45" s="26">
        <v>645.8989466277219</v>
      </c>
    </row>
  </sheetData>
  <mergeCells count="1">
    <mergeCell ref="A1:L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0FC71-887E-4BE0-9852-6053531B7BC8}">
  <sheetPr codeName="Sheet2"/>
  <dimension ref="A1:AG20"/>
  <sheetViews>
    <sheetView workbookViewId="0">
      <selection sqref="A1:AG20"/>
    </sheetView>
  </sheetViews>
  <sheetFormatPr defaultRowHeight="13" x14ac:dyDescent="0.6"/>
  <cols>
    <col min="1" max="20" width="3.1796875" style="73" customWidth="1"/>
    <col min="21" max="33" width="2.86328125" style="73" customWidth="1"/>
    <col min="34" max="16384" width="8.7265625" style="73"/>
  </cols>
  <sheetData>
    <row r="1" spans="1:33" ht="15.5" customHeight="1" x14ac:dyDescent="0.7">
      <c r="A1" s="104" t="s">
        <v>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</row>
    <row r="2" spans="1:33" ht="13" customHeight="1" x14ac:dyDescent="0.6">
      <c r="A2" s="105" t="s">
        <v>73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</row>
    <row r="3" spans="1:33" ht="13.75" thickBot="1" x14ac:dyDescent="0.75"/>
    <row r="4" spans="1:33" x14ac:dyDescent="0.6">
      <c r="J4" s="106" t="str">
        <f>"Future obligation of "&amp;TEXT(1000*1.06^10,"$0,000.00")&amp;" due"</f>
        <v>Future obligation of $1,790.85 due</v>
      </c>
      <c r="K4" s="107"/>
      <c r="L4" s="107"/>
      <c r="M4" s="107"/>
      <c r="N4" s="107"/>
      <c r="O4" s="107"/>
      <c r="P4" s="108"/>
    </row>
    <row r="5" spans="1:33" ht="13.75" thickBot="1" x14ac:dyDescent="0.75">
      <c r="J5" s="112"/>
      <c r="K5" s="113"/>
      <c r="L5" s="113"/>
      <c r="M5" s="113"/>
      <c r="N5" s="113"/>
      <c r="O5" s="113"/>
      <c r="P5" s="114"/>
    </row>
    <row r="6" spans="1:33" x14ac:dyDescent="0.6">
      <c r="B6" s="124">
        <v>0</v>
      </c>
      <c r="C6" s="124"/>
      <c r="L6" s="124">
        <v>10</v>
      </c>
      <c r="M6" s="124"/>
      <c r="AF6" s="124">
        <v>30</v>
      </c>
      <c r="AG6" s="124"/>
    </row>
    <row r="7" spans="1:33" x14ac:dyDescent="0.6">
      <c r="C7" s="74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6"/>
    </row>
    <row r="8" spans="1:33" x14ac:dyDescent="0.6">
      <c r="C8" s="77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9"/>
    </row>
    <row r="9" spans="1:33" ht="13.75" thickBot="1" x14ac:dyDescent="0.75"/>
    <row r="10" spans="1:33" ht="13" customHeight="1" thickBot="1" x14ac:dyDescent="0.75">
      <c r="A10" s="106" t="str">
        <f>"Buy "&amp;TEXT('Badic innumization'!D8,"$0,000.00")&amp;" face value of 30-year bond"</f>
        <v>Buy $1,073.91 face value of 30-year bond</v>
      </c>
      <c r="B10" s="107"/>
      <c r="C10" s="107"/>
      <c r="D10" s="108"/>
      <c r="N10" s="115" t="s">
        <v>89</v>
      </c>
      <c r="O10" s="116"/>
      <c r="P10" s="116"/>
      <c r="Q10" s="116"/>
      <c r="R10" s="116"/>
      <c r="S10" s="117"/>
    </row>
    <row r="11" spans="1:33" x14ac:dyDescent="0.6">
      <c r="A11" s="109"/>
      <c r="B11" s="110"/>
      <c r="C11" s="110"/>
      <c r="D11" s="111"/>
      <c r="F11" s="106" t="s">
        <v>88</v>
      </c>
      <c r="G11" s="107"/>
      <c r="H11" s="107"/>
      <c r="I11" s="107"/>
      <c r="J11" s="108"/>
      <c r="N11" s="118"/>
      <c r="O11" s="119"/>
      <c r="P11" s="119"/>
      <c r="Q11" s="119"/>
      <c r="R11" s="119"/>
      <c r="S11" s="120"/>
    </row>
    <row r="12" spans="1:33" ht="13.75" thickBot="1" x14ac:dyDescent="0.75">
      <c r="A12" s="112"/>
      <c r="B12" s="113"/>
      <c r="C12" s="113"/>
      <c r="D12" s="114"/>
      <c r="F12" s="112"/>
      <c r="G12" s="113"/>
      <c r="H12" s="113"/>
      <c r="I12" s="113"/>
      <c r="J12" s="114"/>
      <c r="N12" s="121"/>
      <c r="O12" s="122"/>
      <c r="P12" s="122"/>
      <c r="Q12" s="122"/>
      <c r="R12" s="122"/>
      <c r="S12" s="123"/>
    </row>
    <row r="14" spans="1:33" ht="13.75" thickBot="1" x14ac:dyDescent="0.75">
      <c r="A14" s="73" t="s">
        <v>74</v>
      </c>
    </row>
    <row r="15" spans="1:33" s="80" customFormat="1" x14ac:dyDescent="0.6">
      <c r="B15" s="98" t="s">
        <v>90</v>
      </c>
      <c r="C15" s="99"/>
      <c r="D15" s="99"/>
      <c r="E15" s="99"/>
      <c r="F15" s="99"/>
      <c r="G15" s="99"/>
      <c r="H15" s="99"/>
      <c r="I15" s="99"/>
      <c r="J15" s="99"/>
      <c r="K15" s="99"/>
      <c r="L15" s="100"/>
      <c r="N15" s="98" t="s">
        <v>91</v>
      </c>
      <c r="O15" s="99"/>
      <c r="P15" s="99"/>
      <c r="Q15" s="99"/>
      <c r="R15" s="99"/>
      <c r="S15" s="99"/>
      <c r="T15" s="99"/>
      <c r="U15" s="99"/>
      <c r="V15" s="99"/>
      <c r="W15" s="100"/>
    </row>
    <row r="16" spans="1:33" s="80" customFormat="1" ht="13.75" thickBot="1" x14ac:dyDescent="0.75">
      <c r="B16" s="101"/>
      <c r="C16" s="102"/>
      <c r="D16" s="102"/>
      <c r="E16" s="102"/>
      <c r="F16" s="102"/>
      <c r="G16" s="102"/>
      <c r="H16" s="102"/>
      <c r="I16" s="102"/>
      <c r="J16" s="102"/>
      <c r="K16" s="102"/>
      <c r="L16" s="103"/>
      <c r="N16" s="101"/>
      <c r="O16" s="102"/>
      <c r="P16" s="102"/>
      <c r="Q16" s="102"/>
      <c r="R16" s="102"/>
      <c r="S16" s="102"/>
      <c r="T16" s="102"/>
      <c r="U16" s="102"/>
      <c r="V16" s="102"/>
      <c r="W16" s="103"/>
    </row>
    <row r="17" spans="1:23" s="80" customFormat="1" x14ac:dyDescent="0.6"/>
    <row r="18" spans="1:23" s="80" customFormat="1" ht="13.75" thickBot="1" x14ac:dyDescent="0.75">
      <c r="A18" s="80" t="s">
        <v>75</v>
      </c>
    </row>
    <row r="19" spans="1:23" s="80" customFormat="1" x14ac:dyDescent="0.6">
      <c r="B19" s="98" t="s">
        <v>92</v>
      </c>
      <c r="C19" s="99"/>
      <c r="D19" s="99"/>
      <c r="E19" s="99"/>
      <c r="F19" s="99"/>
      <c r="G19" s="99"/>
      <c r="H19" s="99"/>
      <c r="I19" s="99"/>
      <c r="J19" s="99"/>
      <c r="K19" s="99"/>
      <c r="L19" s="100"/>
      <c r="N19" s="98" t="s">
        <v>93</v>
      </c>
      <c r="O19" s="99"/>
      <c r="P19" s="99"/>
      <c r="Q19" s="99"/>
      <c r="R19" s="99"/>
      <c r="S19" s="99"/>
      <c r="T19" s="99"/>
      <c r="U19" s="99"/>
      <c r="V19" s="99"/>
      <c r="W19" s="100"/>
    </row>
    <row r="20" spans="1:23" s="80" customFormat="1" ht="13.75" thickBot="1" x14ac:dyDescent="0.75">
      <c r="B20" s="101"/>
      <c r="C20" s="102"/>
      <c r="D20" s="102"/>
      <c r="E20" s="102"/>
      <c r="F20" s="102"/>
      <c r="G20" s="102"/>
      <c r="H20" s="102"/>
      <c r="I20" s="102"/>
      <c r="J20" s="102"/>
      <c r="K20" s="102"/>
      <c r="L20" s="103"/>
      <c r="N20" s="101"/>
      <c r="O20" s="102"/>
      <c r="P20" s="102"/>
      <c r="Q20" s="102"/>
      <c r="R20" s="102"/>
      <c r="S20" s="102"/>
      <c r="T20" s="102"/>
      <c r="U20" s="102"/>
      <c r="V20" s="102"/>
      <c r="W20" s="103"/>
    </row>
  </sheetData>
  <mergeCells count="13">
    <mergeCell ref="N19:W20"/>
    <mergeCell ref="A1:AG1"/>
    <mergeCell ref="A2:AG2"/>
    <mergeCell ref="B15:L16"/>
    <mergeCell ref="N15:W16"/>
    <mergeCell ref="B19:L20"/>
    <mergeCell ref="A10:D12"/>
    <mergeCell ref="F11:J12"/>
    <mergeCell ref="N10:S12"/>
    <mergeCell ref="B6:C6"/>
    <mergeCell ref="L6:M6"/>
    <mergeCell ref="AF6:AG6"/>
    <mergeCell ref="J4:P5"/>
  </mergeCells>
  <pageMargins left="0.75" right="0.75" top="1" bottom="1" header="0.5" footer="0.5"/>
  <pageSetup orientation="portrait" horizontalDpi="4294967292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67EB-CC4B-40C3-BB45-7C2EDE862D8D}">
  <sheetPr codeName="Sheet9"/>
  <dimension ref="A1:F38"/>
  <sheetViews>
    <sheetView topLeftCell="A19" workbookViewId="0">
      <selection activeCell="H11" sqref="H11"/>
    </sheetView>
  </sheetViews>
  <sheetFormatPr defaultRowHeight="13" x14ac:dyDescent="0.6"/>
  <cols>
    <col min="1" max="1" width="35.2265625" style="58" bestFit="1" customWidth="1"/>
    <col min="2" max="4" width="9.86328125" style="58" bestFit="1" customWidth="1"/>
    <col min="5" max="5" width="29.86328125" style="58" bestFit="1" customWidth="1"/>
    <col min="6" max="6" width="35.6796875" style="58" customWidth="1"/>
    <col min="7" max="16384" width="8.7265625" style="58"/>
  </cols>
  <sheetData>
    <row r="1" spans="1:6" ht="18" x14ac:dyDescent="0.8">
      <c r="A1" s="125" t="s">
        <v>76</v>
      </c>
      <c r="B1" s="125"/>
      <c r="C1" s="125"/>
      <c r="D1" s="125"/>
      <c r="E1" s="125"/>
      <c r="F1" s="60"/>
    </row>
    <row r="2" spans="1:6" x14ac:dyDescent="0.6">
      <c r="A2" s="58" t="s">
        <v>77</v>
      </c>
      <c r="B2" s="61">
        <v>0.06</v>
      </c>
    </row>
    <row r="3" spans="1:6" x14ac:dyDescent="0.6">
      <c r="B3" s="59" t="s">
        <v>78</v>
      </c>
      <c r="C3" s="59" t="s">
        <v>79</v>
      </c>
      <c r="D3" s="59" t="s">
        <v>80</v>
      </c>
    </row>
    <row r="4" spans="1:6" x14ac:dyDescent="0.6">
      <c r="A4" s="58" t="s">
        <v>23</v>
      </c>
      <c r="B4" s="62">
        <v>6.5000000000000002E-2</v>
      </c>
      <c r="C4" s="63">
        <v>7.0000000000000007E-2</v>
      </c>
      <c r="D4" s="62">
        <v>5.5E-2</v>
      </c>
    </row>
    <row r="5" spans="1:6" x14ac:dyDescent="0.6">
      <c r="A5" s="58" t="s">
        <v>33</v>
      </c>
      <c r="B5" s="58">
        <v>10</v>
      </c>
      <c r="C5" s="58">
        <v>15</v>
      </c>
      <c r="D5" s="58">
        <v>30</v>
      </c>
    </row>
    <row r="6" spans="1:6" x14ac:dyDescent="0.6">
      <c r="A6" s="58" t="s">
        <v>20</v>
      </c>
      <c r="B6" s="64">
        <v>1000</v>
      </c>
      <c r="C6" s="64">
        <v>1000</v>
      </c>
      <c r="D6" s="64">
        <v>1000</v>
      </c>
    </row>
    <row r="7" spans="1:6" x14ac:dyDescent="0.6">
      <c r="A7" s="70" t="s">
        <v>6</v>
      </c>
      <c r="B7" s="71">
        <f>-PV($B$2,B5,B4*B6, B6)</f>
        <v>1036.8004352570733</v>
      </c>
      <c r="C7" s="71">
        <f t="shared" ref="C7:D7" si="0">-PV($B$2,C5,C4*C6, C6)</f>
        <v>1097.1224898774101</v>
      </c>
      <c r="D7" s="71">
        <f t="shared" si="0"/>
        <v>931.1758442425529</v>
      </c>
      <c r="E7" s="58" t="str">
        <f ca="1">"&lt;--"&amp;_xlfn.FORMULATEXT(D7)</f>
        <v>&lt;--=-PV($B$2,D5,D4*D6, D6)</v>
      </c>
    </row>
    <row r="8" spans="1:6" x14ac:dyDescent="0.6">
      <c r="A8" s="58" t="s">
        <v>81</v>
      </c>
      <c r="B8" s="66">
        <f>B6/B7*B6</f>
        <v>964.50576793213952</v>
      </c>
      <c r="C8" s="66">
        <f>C6/C7*C6</f>
        <v>911.47525388139445</v>
      </c>
      <c r="D8" s="66">
        <f>D6/D7*D6</f>
        <v>1073.911019259129</v>
      </c>
      <c r="E8" s="58" t="str">
        <f ca="1">"&lt;--"&amp;_xlfn.FORMULATEXT(D8)</f>
        <v>&lt;--=D6/D7*D6</v>
      </c>
    </row>
    <row r="9" spans="1:6" x14ac:dyDescent="0.6">
      <c r="A9" s="70" t="s">
        <v>7</v>
      </c>
      <c r="B9" s="72">
        <f>dduration(B5,B4,$B$2,1)</f>
        <v>7.7030294789871512</v>
      </c>
      <c r="C9" s="72">
        <f>dduration(C5,C4,$B$2,1)</f>
        <v>9.9967433270764516</v>
      </c>
      <c r="D9" s="72">
        <f>dduration(D5,D4,$B$2,1)</f>
        <v>14.830821713064694</v>
      </c>
      <c r="E9" s="58" t="str">
        <f ca="1">"&lt;--"&amp;_xlfn.FORMULATEXT(D9)</f>
        <v>&lt;--=@dduration(D5,D4,$B$2,1)</v>
      </c>
    </row>
    <row r="10" spans="1:6" x14ac:dyDescent="0.6">
      <c r="B10" s="67"/>
      <c r="C10" s="67"/>
      <c r="D10" s="67"/>
    </row>
    <row r="11" spans="1:6" s="81" customFormat="1" x14ac:dyDescent="0.6">
      <c r="A11" s="81" t="s">
        <v>94</v>
      </c>
    </row>
    <row r="12" spans="1:6" s="81" customFormat="1" x14ac:dyDescent="0.6">
      <c r="A12" s="81" t="s">
        <v>82</v>
      </c>
      <c r="B12" s="86">
        <v>0.05</v>
      </c>
      <c r="C12" s="82"/>
      <c r="D12" s="82"/>
    </row>
    <row r="13" spans="1:6" s="81" customFormat="1" x14ac:dyDescent="0.6">
      <c r="B13" s="83" t="s">
        <v>78</v>
      </c>
      <c r="C13" s="83" t="s">
        <v>79</v>
      </c>
      <c r="D13" s="83" t="s">
        <v>80</v>
      </c>
    </row>
    <row r="14" spans="1:6" x14ac:dyDescent="0.6">
      <c r="A14" s="58" t="s">
        <v>6</v>
      </c>
      <c r="B14" s="65">
        <f>-PV($B$12,B5-10,B4*B6,B6)</f>
        <v>1000</v>
      </c>
      <c r="C14" s="65">
        <f>-PV($B$12,C5-10,C4*C6,C6)</f>
        <v>1086.5895334126164</v>
      </c>
      <c r="D14" s="65">
        <f>-PV($B$12,D5-10,D4*D6,D6)</f>
        <v>1062.3110517127</v>
      </c>
      <c r="E14" s="58" t="str">
        <f t="shared" ref="E14:E18" ca="1" si="1">"&lt;--"&amp;_xlfn.FORMULATEXT(D14)</f>
        <v>&lt;--=-PV($B$12,D5-10,D4*D6,D6)</v>
      </c>
    </row>
    <row r="15" spans="1:6" x14ac:dyDescent="0.6">
      <c r="A15" s="58" t="s">
        <v>83</v>
      </c>
      <c r="B15" s="65">
        <f>-FV($B$12,10,B4*B6)</f>
        <v>817.56301481067396</v>
      </c>
      <c r="C15" s="65">
        <f>-FV($B$12,10,C4*C6)</f>
        <v>880.45247748841814</v>
      </c>
      <c r="D15" s="65">
        <f>-FV($B$12,10,D4*D6)</f>
        <v>691.78408945518572</v>
      </c>
      <c r="E15" s="58" t="str">
        <f t="shared" ca="1" si="1"/>
        <v>&lt;--=-FV($B$12,10,D4*D6)</v>
      </c>
    </row>
    <row r="16" spans="1:6" x14ac:dyDescent="0.6">
      <c r="A16" s="68" t="s">
        <v>84</v>
      </c>
      <c r="B16" s="65">
        <f>SUM(B14:B15)</f>
        <v>1817.5630148106738</v>
      </c>
      <c r="C16" s="65">
        <f t="shared" ref="C16:D16" si="2">SUM(C14:C15)</f>
        <v>1967.0420109010347</v>
      </c>
      <c r="D16" s="65">
        <f t="shared" si="2"/>
        <v>1754.0951411678857</v>
      </c>
      <c r="E16" s="58" t="str">
        <f t="shared" ca="1" si="1"/>
        <v>&lt;--=SUM(D14:D15)</v>
      </c>
    </row>
    <row r="17" spans="1:5" x14ac:dyDescent="0.6">
      <c r="A17" s="58" t="s">
        <v>85</v>
      </c>
      <c r="B17" s="30">
        <f>B8/B6</f>
        <v>0.96450576793213949</v>
      </c>
      <c r="C17" s="30">
        <f t="shared" ref="C17:D17" si="3">C8/C6</f>
        <v>0.9114752538813945</v>
      </c>
      <c r="D17" s="30">
        <f t="shared" si="3"/>
        <v>1.073911019259129</v>
      </c>
      <c r="E17" s="58" t="str">
        <f t="shared" ca="1" si="1"/>
        <v>&lt;--=D8/D6</v>
      </c>
    </row>
    <row r="18" spans="1:5" x14ac:dyDescent="0.6">
      <c r="A18" s="84" t="s">
        <v>86</v>
      </c>
      <c r="B18" s="85">
        <f>B17*B16</f>
        <v>1753.0500113650237</v>
      </c>
      <c r="C18" s="85">
        <f>C17*C16</f>
        <v>1792.9101162813893</v>
      </c>
      <c r="D18" s="85">
        <f>D17*D16</f>
        <v>1883.7421009290899</v>
      </c>
      <c r="E18" s="58" t="str">
        <f t="shared" ca="1" si="1"/>
        <v>&lt;--=D17*D16</v>
      </c>
    </row>
    <row r="19" spans="1:5" x14ac:dyDescent="0.6">
      <c r="A19" s="68"/>
      <c r="B19" s="66"/>
      <c r="C19" s="66"/>
      <c r="D19" s="66"/>
    </row>
    <row r="20" spans="1:5" x14ac:dyDescent="0.6">
      <c r="A20" s="58" t="s">
        <v>95</v>
      </c>
    </row>
    <row r="21" spans="1:5" x14ac:dyDescent="0.6">
      <c r="A21" s="68" t="s">
        <v>96</v>
      </c>
      <c r="B21" s="59" t="s">
        <v>78</v>
      </c>
      <c r="C21" s="59" t="s">
        <v>79</v>
      </c>
      <c r="D21" s="59" t="s">
        <v>80</v>
      </c>
    </row>
    <row r="22" spans="1:5" x14ac:dyDescent="0.6">
      <c r="B22" s="69">
        <f>B18</f>
        <v>1753.0500113650237</v>
      </c>
      <c r="C22" s="69">
        <f>C18</f>
        <v>1792.9101162813893</v>
      </c>
      <c r="D22" s="69">
        <f>D18</f>
        <v>1883.7421009290899</v>
      </c>
      <c r="E22" s="58" t="str">
        <f ca="1">"&lt;--"&amp;_xlfn.FORMULATEXT(D22)&amp;" , data table header (hidden)"</f>
        <v>&lt;--=D18 , data table header (hidden)</v>
      </c>
    </row>
    <row r="23" spans="1:5" x14ac:dyDescent="0.6">
      <c r="A23" s="61">
        <v>0</v>
      </c>
      <c r="B23" s="3">
        <f t="dataTable" ref="B23:D38" dt2D="0" dtr="0" r1="B12" ca="1"/>
        <v>1591.4345170880301</v>
      </c>
      <c r="C23" s="3">
        <v>1868.5242704568586</v>
      </c>
      <c r="D23" s="3">
        <v>2845.8642010366921</v>
      </c>
    </row>
    <row r="24" spans="1:5" x14ac:dyDescent="0.6">
      <c r="A24" s="61">
        <v>0.01</v>
      </c>
      <c r="B24" s="3">
        <v>1620.4119501129126</v>
      </c>
      <c r="C24" s="3">
        <v>1844.4255503905019</v>
      </c>
      <c r="D24" s="3">
        <v>2563.9320306744421</v>
      </c>
    </row>
    <row r="25" spans="1:5" x14ac:dyDescent="0.6">
      <c r="A25" s="61">
        <v>0.02</v>
      </c>
      <c r="B25" s="3">
        <v>1650.9752569293037</v>
      </c>
      <c r="C25" s="3">
        <v>1824.9133199617265</v>
      </c>
      <c r="D25" s="3">
        <v>2335.2569071584053</v>
      </c>
    </row>
    <row r="26" spans="1:5" x14ac:dyDescent="0.6">
      <c r="A26" s="61">
        <v>0.03</v>
      </c>
      <c r="B26" s="3">
        <v>1683.209319653583</v>
      </c>
      <c r="C26" s="3">
        <v>1809.8798061396092</v>
      </c>
      <c r="D26" s="3">
        <v>2150.4533714264594</v>
      </c>
    </row>
    <row r="27" spans="1:5" x14ac:dyDescent="0.6">
      <c r="A27" s="61">
        <v>0.04</v>
      </c>
      <c r="B27" s="3">
        <v>1717.2031400149467</v>
      </c>
      <c r="C27" s="3">
        <v>1799.2358982251446</v>
      </c>
      <c r="D27" s="3">
        <v>2001.9750280932483</v>
      </c>
    </row>
    <row r="28" spans="1:5" x14ac:dyDescent="0.6">
      <c r="A28" s="61">
        <v>0.05</v>
      </c>
      <c r="B28" s="3">
        <v>1753.0500113650237</v>
      </c>
      <c r="C28" s="3">
        <v>1792.9101162813893</v>
      </c>
      <c r="D28" s="3">
        <v>1883.7421009290899</v>
      </c>
    </row>
    <row r="29" spans="1:5" x14ac:dyDescent="0.6">
      <c r="A29" s="61">
        <v>0.06</v>
      </c>
      <c r="B29" s="3">
        <v>1790.8476965428547</v>
      </c>
      <c r="C29" s="3">
        <v>1790.8476965428545</v>
      </c>
      <c r="D29" s="3">
        <v>1790.8476965428545</v>
      </c>
    </row>
    <row r="30" spans="1:5" x14ac:dyDescent="0.6">
      <c r="A30" s="61">
        <v>7.0000000000000007E-2</v>
      </c>
      <c r="B30" s="3">
        <v>1830.6986117463814</v>
      </c>
      <c r="C30" s="3">
        <v>1793.0097828086366</v>
      </c>
      <c r="D30" s="3">
        <v>1719.3255539075208</v>
      </c>
    </row>
    <row r="31" spans="1:5" x14ac:dyDescent="0.6">
      <c r="A31" s="61">
        <v>0.08</v>
      </c>
      <c r="B31" s="3">
        <v>1872.710016564293</v>
      </c>
      <c r="C31" s="3">
        <v>1799.3727140380593</v>
      </c>
      <c r="D31" s="3">
        <v>1665.9659505028185</v>
      </c>
    </row>
    <row r="32" spans="1:5" x14ac:dyDescent="0.6">
      <c r="A32" s="61">
        <v>0.09</v>
      </c>
      <c r="B32" s="3">
        <v>1916.9942103246276</v>
      </c>
      <c r="C32" s="3">
        <v>1809.9273994402931</v>
      </c>
      <c r="D32" s="3">
        <v>1628.1694219508092</v>
      </c>
    </row>
    <row r="33" spans="1:4" x14ac:dyDescent="0.6">
      <c r="A33" s="61">
        <v>0.1</v>
      </c>
      <c r="B33" s="3">
        <v>1963.6687349192655</v>
      </c>
      <c r="C33" s="3">
        <v>1824.6787732985356</v>
      </c>
      <c r="D33" s="3">
        <v>1603.8302484969229</v>
      </c>
    </row>
    <row r="34" spans="1:4" x14ac:dyDescent="0.6">
      <c r="A34" s="61">
        <v>0.11</v>
      </c>
      <c r="B34" s="3">
        <v>2012.8565842660889</v>
      </c>
      <c r="C34" s="3">
        <v>1843.645322609784</v>
      </c>
      <c r="D34" s="3">
        <v>1591.2434324202354</v>
      </c>
    </row>
    <row r="35" spans="1:4" x14ac:dyDescent="0.6">
      <c r="A35" s="61">
        <v>0.12</v>
      </c>
      <c r="B35" s="3">
        <v>2064.6864205733145</v>
      </c>
      <c r="C35" s="3">
        <v>1866.8586813666216</v>
      </c>
      <c r="D35" s="3">
        <v>1589.0302593134197</v>
      </c>
    </row>
    <row r="36" spans="1:4" x14ac:dyDescent="0.6">
      <c r="A36" s="61">
        <v>0.13</v>
      </c>
      <c r="B36" s="3">
        <v>2119.2927975732341</v>
      </c>
      <c r="C36" s="3">
        <v>1894.363285969114</v>
      </c>
      <c r="D36" s="3">
        <v>1596.078597037465</v>
      </c>
    </row>
    <row r="37" spans="1:4" x14ac:dyDescent="0.6">
      <c r="A37" s="61">
        <v>0.14000000000000001</v>
      </c>
      <c r="B37" s="3">
        <v>2176.8163908953693</v>
      </c>
      <c r="C37" s="3">
        <v>1926.2160868430724</v>
      </c>
      <c r="D37" s="3">
        <v>1611.4949103730758</v>
      </c>
    </row>
    <row r="38" spans="1:4" x14ac:dyDescent="0.6">
      <c r="A38" s="61">
        <v>0.15</v>
      </c>
      <c r="B38" s="3">
        <v>2237.4042357517428</v>
      </c>
      <c r="C38" s="3">
        <v>1962.4863118641917</v>
      </c>
      <c r="D38" s="3">
        <v>1634.5656113176774</v>
      </c>
    </row>
  </sheetData>
  <mergeCells count="1">
    <mergeCell ref="A1:E1"/>
  </mergeCells>
  <printOptions headings="1" gridLines="1"/>
  <pageMargins left="0.75" right="0.75" top="1" bottom="1" header="0.5" footer="0.5"/>
  <pageSetup orientation="landscape" verticalDpi="300" r:id="rId1"/>
  <headerFooter alignWithMargins="0">
    <oddHeader>&amp;CUN-16C</oddHeader>
    <oddFooter>Page 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CFB9F-DA1F-4B83-8018-33D7C5A63485}">
  <sheetPr codeName="Sheet10"/>
  <dimension ref="A1:F42"/>
  <sheetViews>
    <sheetView workbookViewId="0">
      <selection activeCell="B13" sqref="B13"/>
    </sheetView>
  </sheetViews>
  <sheetFormatPr defaultRowHeight="13" x14ac:dyDescent="0.6"/>
  <cols>
    <col min="1" max="1" width="35.2265625" style="58" bestFit="1" customWidth="1"/>
    <col min="2" max="4" width="9.86328125" style="58" bestFit="1" customWidth="1"/>
    <col min="5" max="5" width="11.6328125" style="58" customWidth="1"/>
    <col min="6" max="6" width="19.54296875" style="58" bestFit="1" customWidth="1"/>
    <col min="7" max="7" width="8.86328125" style="58" customWidth="1"/>
    <col min="8" max="16384" width="8.7265625" style="58"/>
  </cols>
  <sheetData>
    <row r="1" spans="1:6" ht="18" x14ac:dyDescent="0.8">
      <c r="A1" s="125" t="s">
        <v>101</v>
      </c>
      <c r="B1" s="125"/>
      <c r="C1" s="125"/>
      <c r="D1" s="125"/>
      <c r="E1" s="125"/>
      <c r="F1" s="125"/>
    </row>
    <row r="2" spans="1:6" x14ac:dyDescent="0.6">
      <c r="A2" s="58" t="s">
        <v>77</v>
      </c>
      <c r="B2" s="61">
        <v>0.06</v>
      </c>
    </row>
    <row r="3" spans="1:6" x14ac:dyDescent="0.6">
      <c r="B3" s="59" t="s">
        <v>78</v>
      </c>
      <c r="C3" s="59" t="s">
        <v>79</v>
      </c>
      <c r="D3" s="59" t="s">
        <v>80</v>
      </c>
    </row>
    <row r="4" spans="1:6" x14ac:dyDescent="0.6">
      <c r="A4" s="58" t="s">
        <v>23</v>
      </c>
      <c r="B4" s="62">
        <v>6.5000000000000002E-2</v>
      </c>
      <c r="C4" s="63">
        <v>7.0000000000000007E-2</v>
      </c>
      <c r="D4" s="62">
        <v>5.5E-2</v>
      </c>
    </row>
    <row r="5" spans="1:6" x14ac:dyDescent="0.6">
      <c r="A5" s="58" t="s">
        <v>33</v>
      </c>
      <c r="B5" s="58">
        <v>10</v>
      </c>
      <c r="C5" s="58">
        <v>15</v>
      </c>
      <c r="D5" s="58">
        <v>30</v>
      </c>
    </row>
    <row r="6" spans="1:6" x14ac:dyDescent="0.6">
      <c r="A6" s="58" t="s">
        <v>20</v>
      </c>
      <c r="B6" s="64">
        <v>1000</v>
      </c>
      <c r="C6" s="64">
        <v>1000</v>
      </c>
      <c r="D6" s="64">
        <v>1000</v>
      </c>
    </row>
    <row r="7" spans="1:6" x14ac:dyDescent="0.6">
      <c r="A7" s="81" t="s">
        <v>6</v>
      </c>
      <c r="B7" s="90">
        <f>-PV($B$2,B5,B4*B6,B6)</f>
        <v>1036.8004352570733</v>
      </c>
      <c r="C7" s="90">
        <f t="shared" ref="C7:D7" si="0">-PV($B$2,C5,C4*C6,C6)</f>
        <v>1097.1224898774101</v>
      </c>
      <c r="D7" s="90">
        <f t="shared" si="0"/>
        <v>931.1758442425529</v>
      </c>
      <c r="E7" s="58" t="str">
        <f ca="1">"&lt;--"&amp;_xlfn.FORMULATEXT(D7)</f>
        <v>&lt;--=-PV($B$2,D5,D4*D6,D6)</v>
      </c>
    </row>
    <row r="8" spans="1:6" x14ac:dyDescent="0.6">
      <c r="A8" s="58" t="s">
        <v>81</v>
      </c>
      <c r="B8" s="66">
        <f>B6/B7*B6</f>
        <v>964.50576793213952</v>
      </c>
      <c r="C8" s="66">
        <f>C6/C7*C6</f>
        <v>911.47525388139445</v>
      </c>
      <c r="D8" s="66">
        <f>D6/D7*D6</f>
        <v>1073.911019259129</v>
      </c>
      <c r="E8" s="58" t="str">
        <f ca="1">"&lt;--"&amp;_xlfn.FORMULATEXT(D8)</f>
        <v>&lt;--=D6/D7*D6</v>
      </c>
    </row>
    <row r="9" spans="1:6" x14ac:dyDescent="0.6">
      <c r="A9" s="70" t="s">
        <v>7</v>
      </c>
      <c r="B9" s="72">
        <f>dduration(B5,B4,$B$2,1)</f>
        <v>7.7030294789871512</v>
      </c>
      <c r="C9" s="72">
        <f>dduration(C5,C4,$B$2,1)</f>
        <v>9.9967433270764516</v>
      </c>
      <c r="D9" s="72">
        <f>dduration(D5,D4,$B$2,1)</f>
        <v>14.830821713064694</v>
      </c>
      <c r="E9" s="58" t="str">
        <f ca="1">"&lt;--"&amp;_xlfn.FORMULATEXT(D9)</f>
        <v>&lt;--=@dduration(D5,D4,$B$2,1)</v>
      </c>
    </row>
    <row r="10" spans="1:6" x14ac:dyDescent="0.6">
      <c r="B10" s="67"/>
      <c r="C10" s="67"/>
      <c r="D10" s="67"/>
    </row>
    <row r="11" spans="1:6" x14ac:dyDescent="0.6">
      <c r="A11" s="58" t="s">
        <v>97</v>
      </c>
      <c r="B11" s="87">
        <f>(10-D9)/(B9-D9)</f>
        <v>0.67774446201852345</v>
      </c>
      <c r="C11" s="67" t="str">
        <f ca="1">"&lt;--"&amp;_xlfn.FORMULATEXT(B11)</f>
        <v>&lt;--=(10-D9)/(B9-D9)</v>
      </c>
      <c r="D11" s="67"/>
    </row>
    <row r="12" spans="1:6" x14ac:dyDescent="0.6">
      <c r="A12" s="58" t="s">
        <v>98</v>
      </c>
      <c r="B12" s="87">
        <f>1-B11</f>
        <v>0.32225553798147655</v>
      </c>
      <c r="C12" s="67" t="str">
        <f ca="1">"&lt;--"&amp;_xlfn.FORMULATEXT(B12)</f>
        <v>&lt;--=1-B11</v>
      </c>
      <c r="D12" s="67"/>
    </row>
    <row r="13" spans="1:6" x14ac:dyDescent="0.6">
      <c r="A13" s="68" t="s">
        <v>99</v>
      </c>
      <c r="B13" s="88">
        <f>B11*B9+B12*D9</f>
        <v>10</v>
      </c>
      <c r="C13" s="89" t="str">
        <f ca="1">"&lt;--"&amp;_xlfn.FORMULATEXT(B13)</f>
        <v>&lt;--=B11*B9+B12*D9</v>
      </c>
      <c r="D13" s="67"/>
    </row>
    <row r="14" spans="1:6" x14ac:dyDescent="0.6">
      <c r="B14" s="67"/>
      <c r="C14" s="67"/>
      <c r="D14" s="67"/>
    </row>
    <row r="15" spans="1:6" s="81" customFormat="1" x14ac:dyDescent="0.6">
      <c r="A15" s="81" t="s">
        <v>94</v>
      </c>
    </row>
    <row r="16" spans="1:6" s="81" customFormat="1" x14ac:dyDescent="0.6">
      <c r="A16" s="81" t="s">
        <v>82</v>
      </c>
      <c r="B16" s="86">
        <v>0.05</v>
      </c>
      <c r="C16" s="82"/>
      <c r="D16" s="82"/>
    </row>
    <row r="17" spans="1:6" s="81" customFormat="1" ht="26" x14ac:dyDescent="0.6">
      <c r="B17" s="83" t="s">
        <v>78</v>
      </c>
      <c r="C17" s="83" t="s">
        <v>79</v>
      </c>
      <c r="D17" s="83" t="s">
        <v>80</v>
      </c>
      <c r="E17" s="91" t="s">
        <v>100</v>
      </c>
    </row>
    <row r="18" spans="1:6" x14ac:dyDescent="0.6">
      <c r="A18" s="58" t="s">
        <v>6</v>
      </c>
      <c r="B18" s="65">
        <f>-PV($B$16,B5-10,B4*B6,B6)</f>
        <v>1000</v>
      </c>
      <c r="C18" s="65">
        <f>-PV($B$16,C5-10,C4*C6,C6)</f>
        <v>1086.5895334126164</v>
      </c>
      <c r="D18" s="65">
        <f>-PV($B$16,D5-10,D4*D6,D6)</f>
        <v>1062.3110517127</v>
      </c>
    </row>
    <row r="19" spans="1:6" x14ac:dyDescent="0.6">
      <c r="A19" s="58" t="s">
        <v>83</v>
      </c>
      <c r="B19" s="65">
        <f>-FV($B$16,10,B4*B6)</f>
        <v>817.56301481067396</v>
      </c>
      <c r="C19" s="65">
        <f>-FV($B$16,10,C4*C6)</f>
        <v>880.45247748841814</v>
      </c>
      <c r="D19" s="65">
        <f>-FV($B$16,10,D4*D6)</f>
        <v>691.78408945518572</v>
      </c>
    </row>
    <row r="20" spans="1:6" x14ac:dyDescent="0.6">
      <c r="A20" s="68" t="s">
        <v>84</v>
      </c>
      <c r="B20" s="65">
        <f>SUM(B18:B19)</f>
        <v>1817.5630148106738</v>
      </c>
      <c r="C20" s="65">
        <f t="shared" ref="C20:D20" si="1">SUM(C18:C19)</f>
        <v>1967.0420109010347</v>
      </c>
      <c r="D20" s="65">
        <f t="shared" si="1"/>
        <v>1754.0951411678857</v>
      </c>
    </row>
    <row r="21" spans="1:6" x14ac:dyDescent="0.6">
      <c r="A21" s="58" t="s">
        <v>85</v>
      </c>
      <c r="B21" s="30">
        <f>B8/B6</f>
        <v>0.96450576793213949</v>
      </c>
      <c r="C21" s="30">
        <f t="shared" ref="C21:D21" si="2">C8/C6</f>
        <v>0.9114752538813945</v>
      </c>
      <c r="D21" s="30">
        <f t="shared" si="2"/>
        <v>1.073911019259129</v>
      </c>
    </row>
    <row r="22" spans="1:6" x14ac:dyDescent="0.6">
      <c r="A22" s="84" t="s">
        <v>86</v>
      </c>
      <c r="B22" s="85">
        <f>B21*B20</f>
        <v>1753.0500113650237</v>
      </c>
      <c r="C22" s="85">
        <f>C21*C20</f>
        <v>1792.9101162813893</v>
      </c>
      <c r="D22" s="85">
        <f>D21*D20</f>
        <v>1883.7421009290899</v>
      </c>
      <c r="E22" s="85">
        <f>B11*B22+B12*D22</f>
        <v>1795.1662609974151</v>
      </c>
      <c r="F22" s="58" t="str">
        <f ca="1">"&lt;--"&amp;_xlfn.FORMULATEXT(E22)</f>
        <v>&lt;--=B11*B22+B12*D22</v>
      </c>
    </row>
    <row r="23" spans="1:6" x14ac:dyDescent="0.6">
      <c r="A23" s="68"/>
      <c r="B23" s="66"/>
      <c r="C23" s="66"/>
      <c r="D23" s="66"/>
    </row>
    <row r="24" spans="1:6" x14ac:dyDescent="0.6">
      <c r="A24" s="58" t="s">
        <v>95</v>
      </c>
    </row>
    <row r="25" spans="1:6" x14ac:dyDescent="0.6">
      <c r="A25" s="68" t="s">
        <v>96</v>
      </c>
      <c r="B25" s="59" t="s">
        <v>78</v>
      </c>
      <c r="C25" s="59" t="s">
        <v>79</v>
      </c>
      <c r="D25" s="59" t="s">
        <v>80</v>
      </c>
      <c r="E25" s="68" t="str">
        <f>E17</f>
        <v>Portfolio of Bond 1 &amp; 3</v>
      </c>
    </row>
    <row r="26" spans="1:6" x14ac:dyDescent="0.6">
      <c r="B26" s="69">
        <f>B22</f>
        <v>1753.0500113650237</v>
      </c>
      <c r="C26" s="69">
        <f>C22</f>
        <v>1792.9101162813893</v>
      </c>
      <c r="D26" s="69">
        <f>D22</f>
        <v>1883.7421009290899</v>
      </c>
      <c r="E26" s="69">
        <f>E22</f>
        <v>1795.1662609974151</v>
      </c>
      <c r="F26" s="58" t="str">
        <f ca="1">"&lt;--"&amp;_xlfn.FORMULATEXT(E26)&amp;" , data table header (hidden)"</f>
        <v>&lt;--=E22 , data table header (hidden)</v>
      </c>
    </row>
    <row r="27" spans="1:6" x14ac:dyDescent="0.6">
      <c r="A27" s="61">
        <v>0</v>
      </c>
      <c r="B27" s="3">
        <f t="dataTable" ref="B27:E42" dt2D="0" dtr="0" r1="B16" ca="1"/>
        <v>1591.4345170880301</v>
      </c>
      <c r="C27" s="3">
        <v>1868.5242704568586</v>
      </c>
      <c r="D27" s="3">
        <v>2845.8642010366921</v>
      </c>
      <c r="E27" s="3">
        <v>1995.6814297488399</v>
      </c>
    </row>
    <row r="28" spans="1:6" x14ac:dyDescent="0.6">
      <c r="A28" s="61">
        <v>0.01</v>
      </c>
      <c r="B28" s="3">
        <v>1620.4119501129126</v>
      </c>
      <c r="C28" s="3">
        <v>1844.4255503905019</v>
      </c>
      <c r="D28" s="3">
        <v>2563.9320306744421</v>
      </c>
      <c r="E28" s="3">
        <v>1924.4665212705943</v>
      </c>
    </row>
    <row r="29" spans="1:6" x14ac:dyDescent="0.6">
      <c r="A29" s="61">
        <v>0.02</v>
      </c>
      <c r="B29" s="3">
        <v>1650.9752569293037</v>
      </c>
      <c r="C29" s="3">
        <v>1824.9133199617265</v>
      </c>
      <c r="D29" s="3">
        <v>2335.2569071584053</v>
      </c>
      <c r="E29" s="3">
        <v>1871.4888082547354</v>
      </c>
    </row>
    <row r="30" spans="1:6" x14ac:dyDescent="0.6">
      <c r="A30" s="61">
        <v>0.03</v>
      </c>
      <c r="B30" s="3">
        <v>1683.209319653583</v>
      </c>
      <c r="C30" s="3">
        <v>1809.8798061396092</v>
      </c>
      <c r="D30" s="3">
        <v>2150.4533714264594</v>
      </c>
      <c r="E30" s="3">
        <v>1833.7813029262961</v>
      </c>
    </row>
    <row r="31" spans="1:6" x14ac:dyDescent="0.6">
      <c r="A31" s="61">
        <v>0.04</v>
      </c>
      <c r="B31" s="3">
        <v>1717.2031400149467</v>
      </c>
      <c r="C31" s="3">
        <v>1799.2358982251446</v>
      </c>
      <c r="D31" s="3">
        <v>2001.9750280932483</v>
      </c>
      <c r="E31" s="3">
        <v>1808.9724580096206</v>
      </c>
    </row>
    <row r="32" spans="1:6" x14ac:dyDescent="0.6">
      <c r="A32" s="61">
        <v>0.05</v>
      </c>
      <c r="B32" s="3">
        <v>1753.0500113650237</v>
      </c>
      <c r="C32" s="3">
        <v>1792.9101162813893</v>
      </c>
      <c r="D32" s="3">
        <v>1883.7421009290899</v>
      </c>
      <c r="E32" s="3">
        <v>1795.1662609974151</v>
      </c>
    </row>
    <row r="33" spans="1:5" x14ac:dyDescent="0.6">
      <c r="A33" s="61">
        <v>0.06</v>
      </c>
      <c r="B33" s="3">
        <v>1790.8476965428547</v>
      </c>
      <c r="C33" s="3">
        <v>1790.8476965428545</v>
      </c>
      <c r="D33" s="3">
        <v>1790.8476965428545</v>
      </c>
      <c r="E33" s="3">
        <v>1790.8476965428547</v>
      </c>
    </row>
    <row r="34" spans="1:5" x14ac:dyDescent="0.6">
      <c r="A34" s="61">
        <v>7.0000000000000007E-2</v>
      </c>
      <c r="B34" s="3">
        <v>1830.6986117463814</v>
      </c>
      <c r="C34" s="3">
        <v>1793.0097828086366</v>
      </c>
      <c r="D34" s="3">
        <v>1719.3255539075208</v>
      </c>
      <c r="E34" s="3">
        <v>1794.8080270758774</v>
      </c>
    </row>
    <row r="35" spans="1:5" x14ac:dyDescent="0.6">
      <c r="A35" s="61">
        <v>0.08</v>
      </c>
      <c r="B35" s="3">
        <v>1872.710016564293</v>
      </c>
      <c r="C35" s="3">
        <v>1799.3727140380593</v>
      </c>
      <c r="D35" s="3">
        <v>1665.9659505028185</v>
      </c>
      <c r="E35" s="3">
        <v>1806.0855963311747</v>
      </c>
    </row>
    <row r="36" spans="1:5" x14ac:dyDescent="0.6">
      <c r="A36" s="61">
        <v>0.09</v>
      </c>
      <c r="B36" s="3">
        <v>1916.9942103246276</v>
      </c>
      <c r="C36" s="3">
        <v>1809.9273994402931</v>
      </c>
      <c r="D36" s="3">
        <v>1628.1694219508092</v>
      </c>
      <c r="E36" s="3">
        <v>1823.9188227648367</v>
      </c>
    </row>
    <row r="37" spans="1:5" x14ac:dyDescent="0.6">
      <c r="A37" s="61">
        <v>0.1</v>
      </c>
      <c r="B37" s="3">
        <v>1963.6687349192655</v>
      </c>
      <c r="C37" s="3">
        <v>1824.6787732985356</v>
      </c>
      <c r="D37" s="3">
        <v>1603.8302484969229</v>
      </c>
      <c r="E37" s="3">
        <v>1847.7087898907935</v>
      </c>
    </row>
    <row r="38" spans="1:5" x14ac:dyDescent="0.6">
      <c r="A38" s="61">
        <v>0.11</v>
      </c>
      <c r="B38" s="3">
        <v>2012.8565842660889</v>
      </c>
      <c r="C38" s="3">
        <v>1843.645322609784</v>
      </c>
      <c r="D38" s="3">
        <v>1591.2434324202354</v>
      </c>
      <c r="E38" s="3">
        <v>1876.9894111979374</v>
      </c>
    </row>
    <row r="39" spans="1:5" x14ac:dyDescent="0.6">
      <c r="A39" s="61">
        <v>0.12</v>
      </c>
      <c r="B39" s="3">
        <v>2064.6864205733145</v>
      </c>
      <c r="C39" s="3">
        <v>1866.8586813666216</v>
      </c>
      <c r="D39" s="3">
        <v>1589.0302593134197</v>
      </c>
      <c r="E39" s="3">
        <v>1911.403588432303</v>
      </c>
    </row>
    <row r="40" spans="1:5" x14ac:dyDescent="0.6">
      <c r="A40" s="61">
        <v>0.13</v>
      </c>
      <c r="B40" s="3">
        <v>2119.2927975732341</v>
      </c>
      <c r="C40" s="3">
        <v>1894.363285969114</v>
      </c>
      <c r="D40" s="3">
        <v>1596.078597037465</v>
      </c>
      <c r="E40" s="3">
        <v>1950.6841239000319</v>
      </c>
    </row>
    <row r="41" spans="1:5" x14ac:dyDescent="0.6">
      <c r="A41" s="61">
        <v>0.14000000000000001</v>
      </c>
      <c r="B41" s="3">
        <v>2176.8163908953693</v>
      </c>
      <c r="C41" s="3">
        <v>1926.2160868430724</v>
      </c>
      <c r="D41" s="3">
        <v>1611.4949103730758</v>
      </c>
      <c r="E41" s="3">
        <v>1994.6384130571728</v>
      </c>
    </row>
    <row r="42" spans="1:5" x14ac:dyDescent="0.6">
      <c r="A42" s="61">
        <v>0.15</v>
      </c>
      <c r="B42" s="3">
        <v>2237.4042357517428</v>
      </c>
      <c r="C42" s="3">
        <v>1962.4863118641917</v>
      </c>
      <c r="D42" s="3">
        <v>1634.5656113176774</v>
      </c>
      <c r="E42" s="3">
        <v>2043.1361505187297</v>
      </c>
    </row>
  </sheetData>
  <mergeCells count="1">
    <mergeCell ref="A1:F1"/>
  </mergeCells>
  <printOptions headings="1" gridLines="1"/>
  <pageMargins left="0.75" right="0.75" top="1" bottom="1" header="0.5" footer="0.5"/>
  <pageSetup orientation="landscape" verticalDpi="300" r:id="rId1"/>
  <headerFooter alignWithMargins="0">
    <oddHeader>&amp;CUN-16C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Bond basics</vt:lpstr>
      <vt:lpstr>Duration</vt:lpstr>
      <vt:lpstr>D as price elasticity</vt:lpstr>
      <vt:lpstr>BABCOCK'S FORMULA</vt:lpstr>
      <vt:lpstr>Effect of coupon on D</vt:lpstr>
      <vt:lpstr>Effect of T on D </vt:lpstr>
      <vt:lpstr>D with uneven periods</vt:lpstr>
      <vt:lpstr>IRR with uneven payments</vt:lpstr>
      <vt:lpstr>YTM of eneven periods</vt:lpstr>
      <vt:lpstr>Convexity of bond</vt:lpstr>
      <vt:lpstr>Convexity approximation</vt:lpstr>
      <vt:lpstr>Immunization problem</vt:lpstr>
      <vt:lpstr>Badic innumization</vt:lpstr>
      <vt:lpstr>Duration convexity</vt:lpstr>
    </vt:vector>
  </TitlesOfParts>
  <Company>Hebrew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Tal Mofkadi</cp:lastModifiedBy>
  <cp:lastPrinted>1997-04-27T16:03:18Z</cp:lastPrinted>
  <dcterms:created xsi:type="dcterms:W3CDTF">1996-05-18T15:25:42Z</dcterms:created>
  <dcterms:modified xsi:type="dcterms:W3CDTF">2020-08-22T13:51:16Z</dcterms:modified>
</cp:coreProperties>
</file>